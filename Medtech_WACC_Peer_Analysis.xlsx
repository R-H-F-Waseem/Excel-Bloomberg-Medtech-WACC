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array.xml" ContentType="application/vnd.ms-excel.rdarray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c3918ed1592fe34/Documents/College Things/Spring 2026/BUS341W/HWs/Research Project/"/>
    </mc:Choice>
  </mc:AlternateContent>
  <xr:revisionPtr revIDLastSave="6" documentId="8_{3455182E-FA4D-47E4-8BAD-EE836209853E}" xr6:coauthVersionLast="47" xr6:coauthVersionMax="47" xr10:uidLastSave="{CB0528CA-4BDC-4314-BE79-78991AD4D21F}"/>
  <bookViews>
    <workbookView xWindow="-120" yWindow="-120" windowWidth="29040" windowHeight="15720" xr2:uid="{00000000-000D-0000-FFFF-FFFF00000000}"/>
  </bookViews>
  <sheets>
    <sheet name="WACC Dashboard" sheetId="7" r:id="rId1"/>
    <sheet name="Beta Hand Calculations" sheetId="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7" l="1" a="1"/>
  <c r="I9" i="7" s="1"/>
  <c r="I8" i="7" a="1"/>
  <c r="I8" i="7" s="1"/>
  <c r="I7" i="7" a="1"/>
  <c r="I7" i="7" s="1"/>
  <c r="I6" i="7" a="1"/>
  <c r="I6" i="7" s="1"/>
  <c r="A72" i="8"/>
  <c r="A71" i="8"/>
  <c r="A70" i="8"/>
  <c r="A69" i="8"/>
  <c r="A68" i="8"/>
  <c r="A67" i="8"/>
  <c r="D2" i="8" a="1"/>
  <c r="J2" i="8" a="1"/>
  <c r="B13" i="7" a="1"/>
  <c r="F2" i="8" a="1"/>
  <c r="H2" i="8" a="1"/>
  <c r="B2" i="8" a="1"/>
  <c r="B2" i="8" l="1"/>
  <c r="M17" i="8"/>
  <c r="M33" i="8"/>
  <c r="M49" i="8"/>
  <c r="M18" i="8"/>
  <c r="M34" i="8"/>
  <c r="M50" i="8"/>
  <c r="M3" i="8"/>
  <c r="M19" i="8"/>
  <c r="M35" i="8"/>
  <c r="M51" i="8"/>
  <c r="M4" i="8"/>
  <c r="M20" i="8"/>
  <c r="M36" i="8"/>
  <c r="M52" i="8"/>
  <c r="M7" i="8"/>
  <c r="M8" i="8"/>
  <c r="M9" i="8"/>
  <c r="M10" i="8"/>
  <c r="M11" i="8"/>
  <c r="M12" i="8"/>
  <c r="M16" i="8"/>
  <c r="M32" i="8"/>
  <c r="M48" i="8"/>
  <c r="M25" i="8"/>
  <c r="M46" i="8"/>
  <c r="M53" i="8"/>
  <c r="M54" i="8"/>
  <c r="M30" i="8"/>
  <c r="M63" i="8"/>
  <c r="M26" i="8"/>
  <c r="M47" i="8"/>
  <c r="M56" i="8"/>
  <c r="M57" i="8"/>
  <c r="M41" i="8"/>
  <c r="M43" i="8"/>
  <c r="M27" i="8"/>
  <c r="M31" i="8"/>
  <c r="M39" i="8"/>
  <c r="M40" i="8"/>
  <c r="M28" i="8"/>
  <c r="M13" i="8"/>
  <c r="M61" i="8"/>
  <c r="M21" i="8"/>
  <c r="M29" i="8"/>
  <c r="M55" i="8"/>
  <c r="M62" i="8"/>
  <c r="M22" i="8"/>
  <c r="M44" i="8"/>
  <c r="M5" i="8"/>
  <c r="M37" i="8"/>
  <c r="M58" i="8"/>
  <c r="M15" i="8"/>
  <c r="M6" i="8"/>
  <c r="M38" i="8"/>
  <c r="M59" i="8"/>
  <c r="M60" i="8"/>
  <c r="M23" i="8"/>
  <c r="M42" i="8"/>
  <c r="M14" i="8"/>
  <c r="M24" i="8"/>
  <c r="M45" i="8"/>
  <c r="K3" i="8"/>
  <c r="K19" i="8"/>
  <c r="K35" i="8"/>
  <c r="K51" i="8"/>
  <c r="K4" i="8"/>
  <c r="K20" i="8"/>
  <c r="K36" i="8"/>
  <c r="K52" i="8"/>
  <c r="K5" i="8"/>
  <c r="K21" i="8"/>
  <c r="K37" i="8"/>
  <c r="K53" i="8"/>
  <c r="K6" i="8"/>
  <c r="K22" i="8"/>
  <c r="K38" i="8"/>
  <c r="K54" i="8"/>
  <c r="K18" i="8"/>
  <c r="K34" i="8"/>
  <c r="K50" i="8"/>
  <c r="K10" i="8"/>
  <c r="K31" i="8"/>
  <c r="K57" i="8"/>
  <c r="K33" i="8"/>
  <c r="K59" i="8"/>
  <c r="K39" i="8"/>
  <c r="K47" i="8"/>
  <c r="K28" i="8"/>
  <c r="K9" i="8"/>
  <c r="K11" i="8"/>
  <c r="K32" i="8"/>
  <c r="K58" i="8"/>
  <c r="K12" i="8"/>
  <c r="K13" i="8"/>
  <c r="K41" i="8"/>
  <c r="K24" i="8"/>
  <c r="K48" i="8"/>
  <c r="K60" i="8"/>
  <c r="K16" i="8"/>
  <c r="K45" i="8"/>
  <c r="K8" i="8"/>
  <c r="K14" i="8"/>
  <c r="K40" i="8"/>
  <c r="K61" i="8"/>
  <c r="K62" i="8"/>
  <c r="K42" i="8"/>
  <c r="K63" i="8"/>
  <c r="K27" i="8"/>
  <c r="K30" i="8"/>
  <c r="K15" i="8"/>
  <c r="K25" i="8"/>
  <c r="K46" i="8"/>
  <c r="K17" i="8"/>
  <c r="K43" i="8"/>
  <c r="K49" i="8"/>
  <c r="K56" i="8"/>
  <c r="K23" i="8"/>
  <c r="K44" i="8"/>
  <c r="K26" i="8"/>
  <c r="K7" i="8"/>
  <c r="K29" i="8"/>
  <c r="K55" i="8"/>
  <c r="I5" i="8"/>
  <c r="I21" i="8"/>
  <c r="I37" i="8"/>
  <c r="I53" i="8"/>
  <c r="I6" i="8"/>
  <c r="I22" i="8"/>
  <c r="I38" i="8"/>
  <c r="I54" i="8"/>
  <c r="I7" i="8"/>
  <c r="I23" i="8"/>
  <c r="I39" i="8"/>
  <c r="I55" i="8"/>
  <c r="I8" i="8"/>
  <c r="I24" i="8"/>
  <c r="I40" i="8"/>
  <c r="I56" i="8"/>
  <c r="I4" i="8"/>
  <c r="I20" i="8"/>
  <c r="I36" i="8"/>
  <c r="I52" i="8"/>
  <c r="I16" i="8"/>
  <c r="I42" i="8"/>
  <c r="I63" i="8"/>
  <c r="I17" i="8"/>
  <c r="I18" i="8"/>
  <c r="I45" i="8"/>
  <c r="I26" i="8"/>
  <c r="I61" i="8"/>
  <c r="I43" i="8"/>
  <c r="I44" i="8"/>
  <c r="I19" i="8"/>
  <c r="I27" i="8"/>
  <c r="I3" i="8"/>
  <c r="I30" i="8"/>
  <c r="I31" i="8"/>
  <c r="I32" i="8"/>
  <c r="I14" i="8"/>
  <c r="I47" i="8"/>
  <c r="I50" i="8"/>
  <c r="I10" i="8"/>
  <c r="I13" i="8"/>
  <c r="I41" i="8"/>
  <c r="I25" i="8"/>
  <c r="I46" i="8"/>
  <c r="I48" i="8"/>
  <c r="I35" i="8"/>
  <c r="I58" i="8"/>
  <c r="I33" i="8"/>
  <c r="I28" i="8"/>
  <c r="I49" i="8"/>
  <c r="I29" i="8"/>
  <c r="I9" i="8"/>
  <c r="I51" i="8"/>
  <c r="I12" i="8"/>
  <c r="I60" i="8"/>
  <c r="I57" i="8"/>
  <c r="I11" i="8"/>
  <c r="I15" i="8"/>
  <c r="I59" i="8"/>
  <c r="I34" i="8"/>
  <c r="I62" i="8"/>
  <c r="C11" i="8"/>
  <c r="C27" i="8"/>
  <c r="C43" i="8"/>
  <c r="C59" i="8"/>
  <c r="C12" i="8"/>
  <c r="C28" i="8"/>
  <c r="C44" i="8"/>
  <c r="C60" i="8"/>
  <c r="C13" i="8"/>
  <c r="C29" i="8"/>
  <c r="C45" i="8"/>
  <c r="C61" i="8"/>
  <c r="C19" i="8"/>
  <c r="C38" i="8"/>
  <c r="C57" i="8"/>
  <c r="C20" i="8"/>
  <c r="C58" i="8"/>
  <c r="C40" i="8"/>
  <c r="C62" i="8"/>
  <c r="C22" i="8"/>
  <c r="C63" i="8"/>
  <c r="C24" i="8"/>
  <c r="C18" i="8"/>
  <c r="C39" i="8"/>
  <c r="C21" i="8"/>
  <c r="C3" i="8"/>
  <c r="C46" i="8"/>
  <c r="C14" i="8"/>
  <c r="C36" i="8"/>
  <c r="C41" i="8"/>
  <c r="C47" i="8"/>
  <c r="C7" i="8"/>
  <c r="C30" i="8"/>
  <c r="C50" i="8"/>
  <c r="C10" i="8"/>
  <c r="C52" i="8"/>
  <c r="C34" i="8"/>
  <c r="C35" i="8"/>
  <c r="C5" i="8"/>
  <c r="C25" i="8"/>
  <c r="C26" i="8"/>
  <c r="C48" i="8"/>
  <c r="C49" i="8"/>
  <c r="C31" i="8"/>
  <c r="C33" i="8"/>
  <c r="C4" i="8"/>
  <c r="C23" i="8"/>
  <c r="C42" i="8"/>
  <c r="C6" i="8"/>
  <c r="C55" i="8"/>
  <c r="C56" i="8"/>
  <c r="C53" i="8"/>
  <c r="C54" i="8"/>
  <c r="C8" i="8"/>
  <c r="C9" i="8"/>
  <c r="C15" i="8"/>
  <c r="C32" i="8"/>
  <c r="C37" i="8"/>
  <c r="C51" i="8"/>
  <c r="C17" i="8"/>
  <c r="C16" i="8"/>
  <c r="G7" i="8"/>
  <c r="G23" i="8"/>
  <c r="G39" i="8"/>
  <c r="G55" i="8"/>
  <c r="G8" i="8"/>
  <c r="G24" i="8"/>
  <c r="G40" i="8"/>
  <c r="G56" i="8"/>
  <c r="G9" i="8"/>
  <c r="G25" i="8"/>
  <c r="G41" i="8"/>
  <c r="G57" i="8"/>
  <c r="G10" i="8"/>
  <c r="G6" i="8"/>
  <c r="G22" i="8"/>
  <c r="G26" i="8"/>
  <c r="G45" i="8"/>
  <c r="G46" i="8"/>
  <c r="G28" i="8"/>
  <c r="G29" i="8"/>
  <c r="G50" i="8"/>
  <c r="G16" i="8"/>
  <c r="G59" i="8"/>
  <c r="G27" i="8"/>
  <c r="G47" i="8"/>
  <c r="G4" i="8"/>
  <c r="G48" i="8"/>
  <c r="G11" i="8"/>
  <c r="G32" i="8"/>
  <c r="G38" i="8"/>
  <c r="G20" i="8"/>
  <c r="G21" i="8"/>
  <c r="G3" i="8"/>
  <c r="G15" i="8"/>
  <c r="G17" i="8"/>
  <c r="G19" i="8"/>
  <c r="G63" i="8"/>
  <c r="G12" i="8"/>
  <c r="G51" i="8"/>
  <c r="G35" i="8"/>
  <c r="G58" i="8"/>
  <c r="G62" i="8"/>
  <c r="G5" i="8"/>
  <c r="G30" i="8"/>
  <c r="G49" i="8"/>
  <c r="G31" i="8"/>
  <c r="G36" i="8"/>
  <c r="G42" i="8"/>
  <c r="G13" i="8"/>
  <c r="G33" i="8"/>
  <c r="G52" i="8"/>
  <c r="G34" i="8"/>
  <c r="G18" i="8"/>
  <c r="G43" i="8"/>
  <c r="G14" i="8"/>
  <c r="G53" i="8"/>
  <c r="G54" i="8"/>
  <c r="G44" i="8"/>
  <c r="G37" i="8"/>
  <c r="G60" i="8"/>
  <c r="G61" i="8"/>
  <c r="E9" i="8"/>
  <c r="E25" i="8"/>
  <c r="E41" i="8"/>
  <c r="E57" i="8"/>
  <c r="E10" i="8"/>
  <c r="E26" i="8"/>
  <c r="E42" i="8"/>
  <c r="E58" i="8"/>
  <c r="E11" i="8"/>
  <c r="E27" i="8"/>
  <c r="E43" i="8"/>
  <c r="E59" i="8"/>
  <c r="E21" i="8"/>
  <c r="E40" i="8"/>
  <c r="E62" i="8"/>
  <c r="E44" i="8"/>
  <c r="E4" i="8"/>
  <c r="E45" i="8"/>
  <c r="E24" i="8"/>
  <c r="E36" i="8"/>
  <c r="E56" i="8"/>
  <c r="E19" i="8"/>
  <c r="E3" i="8"/>
  <c r="E22" i="8"/>
  <c r="E63" i="8"/>
  <c r="E23" i="8"/>
  <c r="E7" i="8"/>
  <c r="E49" i="8"/>
  <c r="E46" i="8"/>
  <c r="E29" i="8"/>
  <c r="E30" i="8"/>
  <c r="E13" i="8"/>
  <c r="E14" i="8"/>
  <c r="E52" i="8"/>
  <c r="E60" i="8"/>
  <c r="E5" i="8"/>
  <c r="E32" i="8"/>
  <c r="E53" i="8"/>
  <c r="E55" i="8"/>
  <c r="E37" i="8"/>
  <c r="E6" i="8"/>
  <c r="E28" i="8"/>
  <c r="E47" i="8"/>
  <c r="E48" i="8"/>
  <c r="E8" i="8"/>
  <c r="E31" i="8"/>
  <c r="E16" i="8"/>
  <c r="E17" i="8"/>
  <c r="E18" i="8"/>
  <c r="E34" i="8"/>
  <c r="E39" i="8"/>
  <c r="E12" i="8"/>
  <c r="E50" i="8"/>
  <c r="E51" i="8"/>
  <c r="E35" i="8"/>
  <c r="E15" i="8"/>
  <c r="E54" i="8"/>
  <c r="E33" i="8"/>
  <c r="E38" i="8"/>
  <c r="E61" i="8"/>
  <c r="E20" i="8"/>
  <c r="M2" i="8"/>
  <c r="J2" i="8"/>
  <c r="K2" i="8" s="1"/>
  <c r="H2" i="8"/>
  <c r="I2" i="8" s="1"/>
  <c r="F2" i="8"/>
  <c r="G2" i="8" s="1"/>
  <c r="D2" i="8"/>
  <c r="E2" i="8" s="1"/>
  <c r="C2" i="8"/>
  <c r="B13" i="7"/>
  <c r="B72" i="8" l="1"/>
  <c r="B67" i="8"/>
  <c r="B11" i="7" s="1"/>
  <c r="B16" i="7" s="1"/>
  <c r="B68" i="8"/>
  <c r="C11" i="7" s="1"/>
  <c r="C16" i="7" s="1"/>
  <c r="B70" i="8"/>
  <c r="E11" i="7" s="1"/>
  <c r="E16" i="7" s="1"/>
  <c r="B71" i="8"/>
  <c r="F11" i="7" s="1"/>
  <c r="F16" i="7" s="1"/>
  <c r="B69" i="8"/>
  <c r="D11" i="7" s="1"/>
  <c r="D16" i="7" s="1"/>
  <c r="B12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37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  <bk>
      <extLst>
        <ext uri="{3e2802c4-a4d2-4d8b-9148-e3be6c30e623}">
          <xlrd:rvb i="128"/>
        </ext>
      </extLst>
    </bk>
    <bk>
      <extLst>
        <ext uri="{3e2802c4-a4d2-4d8b-9148-e3be6c30e623}">
          <xlrd:rvb i="129"/>
        </ext>
      </extLst>
    </bk>
    <bk>
      <extLst>
        <ext uri="{3e2802c4-a4d2-4d8b-9148-e3be6c30e623}">
          <xlrd:rvb i="130"/>
        </ext>
      </extLst>
    </bk>
    <bk>
      <extLst>
        <ext uri="{3e2802c4-a4d2-4d8b-9148-e3be6c30e623}">
          <xlrd:rvb i="131"/>
        </ext>
      </extLst>
    </bk>
    <bk>
      <extLst>
        <ext uri="{3e2802c4-a4d2-4d8b-9148-e3be6c30e623}">
          <xlrd:rvb i="132"/>
        </ext>
      </extLst>
    </bk>
    <bk>
      <extLst>
        <ext uri="{3e2802c4-a4d2-4d8b-9148-e3be6c30e623}">
          <xlrd:rvb i="133"/>
        </ext>
      </extLst>
    </bk>
    <bk>
      <extLst>
        <ext uri="{3e2802c4-a4d2-4d8b-9148-e3be6c30e623}">
          <xlrd:rvb i="134"/>
        </ext>
      </extLst>
    </bk>
    <bk>
      <extLst>
        <ext uri="{3e2802c4-a4d2-4d8b-9148-e3be6c30e623}">
          <xlrd:rvb i="135"/>
        </ext>
      </extLst>
    </bk>
    <bk>
      <extLst>
        <ext uri="{3e2802c4-a4d2-4d8b-9148-e3be6c30e623}">
          <xlrd:rvb i="136"/>
        </ext>
      </extLst>
    </bk>
    <bk>
      <extLst>
        <ext uri="{3e2802c4-a4d2-4d8b-9148-e3be6c30e623}">
          <xlrd:rvb i="137"/>
        </ext>
      </extLst>
    </bk>
    <bk>
      <extLst>
        <ext uri="{3e2802c4-a4d2-4d8b-9148-e3be6c30e623}">
          <xlrd:rvb i="138"/>
        </ext>
      </extLst>
    </bk>
    <bk>
      <extLst>
        <ext uri="{3e2802c4-a4d2-4d8b-9148-e3be6c30e623}">
          <xlrd:rvb i="139"/>
        </ext>
      </extLst>
    </bk>
    <bk>
      <extLst>
        <ext uri="{3e2802c4-a4d2-4d8b-9148-e3be6c30e623}">
          <xlrd:rvb i="140"/>
        </ext>
      </extLst>
    </bk>
    <bk>
      <extLst>
        <ext uri="{3e2802c4-a4d2-4d8b-9148-e3be6c30e623}">
          <xlrd:rvb i="141"/>
        </ext>
      </extLst>
    </bk>
    <bk>
      <extLst>
        <ext uri="{3e2802c4-a4d2-4d8b-9148-e3be6c30e623}">
          <xlrd:rvb i="142"/>
        </ext>
      </extLst>
    </bk>
    <bk>
      <extLst>
        <ext uri="{3e2802c4-a4d2-4d8b-9148-e3be6c30e623}">
          <xlrd:rvb i="143"/>
        </ext>
      </extLst>
    </bk>
    <bk>
      <extLst>
        <ext uri="{3e2802c4-a4d2-4d8b-9148-e3be6c30e623}">
          <xlrd:rvb i="144"/>
        </ext>
      </extLst>
    </bk>
    <bk>
      <extLst>
        <ext uri="{3e2802c4-a4d2-4d8b-9148-e3be6c30e623}">
          <xlrd:rvb i="145"/>
        </ext>
      </extLst>
    </bk>
    <bk>
      <extLst>
        <ext uri="{3e2802c4-a4d2-4d8b-9148-e3be6c30e623}">
          <xlrd:rvb i="146"/>
        </ext>
      </extLst>
    </bk>
    <bk>
      <extLst>
        <ext uri="{3e2802c4-a4d2-4d8b-9148-e3be6c30e623}">
          <xlrd:rvb i="147"/>
        </ext>
      </extLst>
    </bk>
    <bk>
      <extLst>
        <ext uri="{3e2802c4-a4d2-4d8b-9148-e3be6c30e623}">
          <xlrd:rvb i="148"/>
        </ext>
      </extLst>
    </bk>
    <bk>
      <extLst>
        <ext uri="{3e2802c4-a4d2-4d8b-9148-e3be6c30e623}">
          <xlrd:rvb i="149"/>
        </ext>
      </extLst>
    </bk>
    <bk>
      <extLst>
        <ext uri="{3e2802c4-a4d2-4d8b-9148-e3be6c30e623}">
          <xlrd:rvb i="150"/>
        </ext>
      </extLst>
    </bk>
    <bk>
      <extLst>
        <ext uri="{3e2802c4-a4d2-4d8b-9148-e3be6c30e623}">
          <xlrd:rvb i="151"/>
        </ext>
      </extLst>
    </bk>
    <bk>
      <extLst>
        <ext uri="{3e2802c4-a4d2-4d8b-9148-e3be6c30e623}">
          <xlrd:rvb i="152"/>
        </ext>
      </extLst>
    </bk>
    <bk>
      <extLst>
        <ext uri="{3e2802c4-a4d2-4d8b-9148-e3be6c30e623}">
          <xlrd:rvb i="153"/>
        </ext>
      </extLst>
    </bk>
    <bk>
      <extLst>
        <ext uri="{3e2802c4-a4d2-4d8b-9148-e3be6c30e623}">
          <xlrd:rvb i="154"/>
        </ext>
      </extLst>
    </bk>
    <bk>
      <extLst>
        <ext uri="{3e2802c4-a4d2-4d8b-9148-e3be6c30e623}">
          <xlrd:rvb i="155"/>
        </ext>
      </extLst>
    </bk>
    <bk>
      <extLst>
        <ext uri="{3e2802c4-a4d2-4d8b-9148-e3be6c30e623}">
          <xlrd:rvb i="156"/>
        </ext>
      </extLst>
    </bk>
    <bk>
      <extLst>
        <ext uri="{3e2802c4-a4d2-4d8b-9148-e3be6c30e623}">
          <xlrd:rvb i="157"/>
        </ext>
      </extLst>
    </bk>
    <bk>
      <extLst>
        <ext uri="{3e2802c4-a4d2-4d8b-9148-e3be6c30e623}">
          <xlrd:rvb i="158"/>
        </ext>
      </extLst>
    </bk>
    <bk>
      <extLst>
        <ext uri="{3e2802c4-a4d2-4d8b-9148-e3be6c30e623}">
          <xlrd:rvb i="159"/>
        </ext>
      </extLst>
    </bk>
    <bk>
      <extLst>
        <ext uri="{3e2802c4-a4d2-4d8b-9148-e3be6c30e623}">
          <xlrd:rvb i="160"/>
        </ext>
      </extLst>
    </bk>
    <bk>
      <extLst>
        <ext uri="{3e2802c4-a4d2-4d8b-9148-e3be6c30e623}">
          <xlrd:rvb i="161"/>
        </ext>
      </extLst>
    </bk>
    <bk>
      <extLst>
        <ext uri="{3e2802c4-a4d2-4d8b-9148-e3be6c30e623}">
          <xlrd:rvb i="162"/>
        </ext>
      </extLst>
    </bk>
    <bk>
      <extLst>
        <ext uri="{3e2802c4-a4d2-4d8b-9148-e3be6c30e623}">
          <xlrd:rvb i="163"/>
        </ext>
      </extLst>
    </bk>
    <bk>
      <extLst>
        <ext uri="{3e2802c4-a4d2-4d8b-9148-e3be6c30e623}">
          <xlrd:rvb i="164"/>
        </ext>
      </extLst>
    </bk>
    <bk>
      <extLst>
        <ext uri="{3e2802c4-a4d2-4d8b-9148-e3be6c30e623}">
          <xlrd:rvb i="165"/>
        </ext>
      </extLst>
    </bk>
    <bk>
      <extLst>
        <ext uri="{3e2802c4-a4d2-4d8b-9148-e3be6c30e623}">
          <xlrd:rvb i="166"/>
        </ext>
      </extLst>
    </bk>
    <bk>
      <extLst>
        <ext uri="{3e2802c4-a4d2-4d8b-9148-e3be6c30e623}">
          <xlrd:rvb i="167"/>
        </ext>
      </extLst>
    </bk>
    <bk>
      <extLst>
        <ext uri="{3e2802c4-a4d2-4d8b-9148-e3be6c30e623}">
          <xlrd:rvb i="168"/>
        </ext>
      </extLst>
    </bk>
    <bk>
      <extLst>
        <ext uri="{3e2802c4-a4d2-4d8b-9148-e3be6c30e623}">
          <xlrd:rvb i="169"/>
        </ext>
      </extLst>
    </bk>
    <bk>
      <extLst>
        <ext uri="{3e2802c4-a4d2-4d8b-9148-e3be6c30e623}">
          <xlrd:rvb i="170"/>
        </ext>
      </extLst>
    </bk>
    <bk>
      <extLst>
        <ext uri="{3e2802c4-a4d2-4d8b-9148-e3be6c30e623}">
          <xlrd:rvb i="171"/>
        </ext>
      </extLst>
    </bk>
    <bk>
      <extLst>
        <ext uri="{3e2802c4-a4d2-4d8b-9148-e3be6c30e623}">
          <xlrd:rvb i="172"/>
        </ext>
      </extLst>
    </bk>
    <bk>
      <extLst>
        <ext uri="{3e2802c4-a4d2-4d8b-9148-e3be6c30e623}">
          <xlrd:rvb i="173"/>
        </ext>
      </extLst>
    </bk>
    <bk>
      <extLst>
        <ext uri="{3e2802c4-a4d2-4d8b-9148-e3be6c30e623}">
          <xlrd:rvb i="174"/>
        </ext>
      </extLst>
    </bk>
    <bk>
      <extLst>
        <ext uri="{3e2802c4-a4d2-4d8b-9148-e3be6c30e623}">
          <xlrd:rvb i="175"/>
        </ext>
      </extLst>
    </bk>
    <bk>
      <extLst>
        <ext uri="{3e2802c4-a4d2-4d8b-9148-e3be6c30e623}">
          <xlrd:rvb i="176"/>
        </ext>
      </extLst>
    </bk>
    <bk>
      <extLst>
        <ext uri="{3e2802c4-a4d2-4d8b-9148-e3be6c30e623}">
          <xlrd:rvb i="177"/>
        </ext>
      </extLst>
    </bk>
    <bk>
      <extLst>
        <ext uri="{3e2802c4-a4d2-4d8b-9148-e3be6c30e623}">
          <xlrd:rvb i="178"/>
        </ext>
      </extLst>
    </bk>
    <bk>
      <extLst>
        <ext uri="{3e2802c4-a4d2-4d8b-9148-e3be6c30e623}">
          <xlrd:rvb i="179"/>
        </ext>
      </extLst>
    </bk>
    <bk>
      <extLst>
        <ext uri="{3e2802c4-a4d2-4d8b-9148-e3be6c30e623}">
          <xlrd:rvb i="180"/>
        </ext>
      </extLst>
    </bk>
    <bk>
      <extLst>
        <ext uri="{3e2802c4-a4d2-4d8b-9148-e3be6c30e623}">
          <xlrd:rvb i="181"/>
        </ext>
      </extLst>
    </bk>
    <bk>
      <extLst>
        <ext uri="{3e2802c4-a4d2-4d8b-9148-e3be6c30e623}">
          <xlrd:rvb i="182"/>
        </ext>
      </extLst>
    </bk>
    <bk>
      <extLst>
        <ext uri="{3e2802c4-a4d2-4d8b-9148-e3be6c30e623}">
          <xlrd:rvb i="183"/>
        </ext>
      </extLst>
    </bk>
    <bk>
      <extLst>
        <ext uri="{3e2802c4-a4d2-4d8b-9148-e3be6c30e623}">
          <xlrd:rvb i="184"/>
        </ext>
      </extLst>
    </bk>
    <bk>
      <extLst>
        <ext uri="{3e2802c4-a4d2-4d8b-9148-e3be6c30e623}">
          <xlrd:rvb i="185"/>
        </ext>
      </extLst>
    </bk>
    <bk>
      <extLst>
        <ext uri="{3e2802c4-a4d2-4d8b-9148-e3be6c30e623}">
          <xlrd:rvb i="186"/>
        </ext>
      </extLst>
    </bk>
    <bk>
      <extLst>
        <ext uri="{3e2802c4-a4d2-4d8b-9148-e3be6c30e623}">
          <xlrd:rvb i="187"/>
        </ext>
      </extLst>
    </bk>
    <bk>
      <extLst>
        <ext uri="{3e2802c4-a4d2-4d8b-9148-e3be6c30e623}">
          <xlrd:rvb i="188"/>
        </ext>
      </extLst>
    </bk>
    <bk>
      <extLst>
        <ext uri="{3e2802c4-a4d2-4d8b-9148-e3be6c30e623}">
          <xlrd:rvb i="189"/>
        </ext>
      </extLst>
    </bk>
    <bk>
      <extLst>
        <ext uri="{3e2802c4-a4d2-4d8b-9148-e3be6c30e623}">
          <xlrd:rvb i="190"/>
        </ext>
      </extLst>
    </bk>
    <bk>
      <extLst>
        <ext uri="{3e2802c4-a4d2-4d8b-9148-e3be6c30e623}">
          <xlrd:rvb i="191"/>
        </ext>
      </extLst>
    </bk>
    <bk>
      <extLst>
        <ext uri="{3e2802c4-a4d2-4d8b-9148-e3be6c30e623}">
          <xlrd:rvb i="192"/>
        </ext>
      </extLst>
    </bk>
    <bk>
      <extLst>
        <ext uri="{3e2802c4-a4d2-4d8b-9148-e3be6c30e623}">
          <xlrd:rvb i="193"/>
        </ext>
      </extLst>
    </bk>
    <bk>
      <extLst>
        <ext uri="{3e2802c4-a4d2-4d8b-9148-e3be6c30e623}">
          <xlrd:rvb i="194"/>
        </ext>
      </extLst>
    </bk>
    <bk>
      <extLst>
        <ext uri="{3e2802c4-a4d2-4d8b-9148-e3be6c30e623}">
          <xlrd:rvb i="195"/>
        </ext>
      </extLst>
    </bk>
    <bk>
      <extLst>
        <ext uri="{3e2802c4-a4d2-4d8b-9148-e3be6c30e623}">
          <xlrd:rvb i="196"/>
        </ext>
      </extLst>
    </bk>
    <bk>
      <extLst>
        <ext uri="{3e2802c4-a4d2-4d8b-9148-e3be6c30e623}">
          <xlrd:rvb i="197"/>
        </ext>
      </extLst>
    </bk>
    <bk>
      <extLst>
        <ext uri="{3e2802c4-a4d2-4d8b-9148-e3be6c30e623}">
          <xlrd:rvb i="198"/>
        </ext>
      </extLst>
    </bk>
    <bk>
      <extLst>
        <ext uri="{3e2802c4-a4d2-4d8b-9148-e3be6c30e623}">
          <xlrd:rvb i="199"/>
        </ext>
      </extLst>
    </bk>
    <bk>
      <extLst>
        <ext uri="{3e2802c4-a4d2-4d8b-9148-e3be6c30e623}">
          <xlrd:rvb i="200"/>
        </ext>
      </extLst>
    </bk>
    <bk>
      <extLst>
        <ext uri="{3e2802c4-a4d2-4d8b-9148-e3be6c30e623}">
          <xlrd:rvb i="201"/>
        </ext>
      </extLst>
    </bk>
    <bk>
      <extLst>
        <ext uri="{3e2802c4-a4d2-4d8b-9148-e3be6c30e623}">
          <xlrd:rvb i="202"/>
        </ext>
      </extLst>
    </bk>
    <bk>
      <extLst>
        <ext uri="{3e2802c4-a4d2-4d8b-9148-e3be6c30e623}">
          <xlrd:rvb i="203"/>
        </ext>
      </extLst>
    </bk>
    <bk>
      <extLst>
        <ext uri="{3e2802c4-a4d2-4d8b-9148-e3be6c30e623}">
          <xlrd:rvb i="204"/>
        </ext>
      </extLst>
    </bk>
    <bk>
      <extLst>
        <ext uri="{3e2802c4-a4d2-4d8b-9148-e3be6c30e623}">
          <xlrd:rvb i="205"/>
        </ext>
      </extLst>
    </bk>
    <bk>
      <extLst>
        <ext uri="{3e2802c4-a4d2-4d8b-9148-e3be6c30e623}">
          <xlrd:rvb i="206"/>
        </ext>
      </extLst>
    </bk>
    <bk>
      <extLst>
        <ext uri="{3e2802c4-a4d2-4d8b-9148-e3be6c30e623}">
          <xlrd:rvb i="207"/>
        </ext>
      </extLst>
    </bk>
    <bk>
      <extLst>
        <ext uri="{3e2802c4-a4d2-4d8b-9148-e3be6c30e623}">
          <xlrd:rvb i="208"/>
        </ext>
      </extLst>
    </bk>
    <bk>
      <extLst>
        <ext uri="{3e2802c4-a4d2-4d8b-9148-e3be6c30e623}">
          <xlrd:rvb i="209"/>
        </ext>
      </extLst>
    </bk>
    <bk>
      <extLst>
        <ext uri="{3e2802c4-a4d2-4d8b-9148-e3be6c30e623}">
          <xlrd:rvb i="210"/>
        </ext>
      </extLst>
    </bk>
    <bk>
      <extLst>
        <ext uri="{3e2802c4-a4d2-4d8b-9148-e3be6c30e623}">
          <xlrd:rvb i="211"/>
        </ext>
      </extLst>
    </bk>
    <bk>
      <extLst>
        <ext uri="{3e2802c4-a4d2-4d8b-9148-e3be6c30e623}">
          <xlrd:rvb i="212"/>
        </ext>
      </extLst>
    </bk>
    <bk>
      <extLst>
        <ext uri="{3e2802c4-a4d2-4d8b-9148-e3be6c30e623}">
          <xlrd:rvb i="213"/>
        </ext>
      </extLst>
    </bk>
    <bk>
      <extLst>
        <ext uri="{3e2802c4-a4d2-4d8b-9148-e3be6c30e623}">
          <xlrd:rvb i="214"/>
        </ext>
      </extLst>
    </bk>
    <bk>
      <extLst>
        <ext uri="{3e2802c4-a4d2-4d8b-9148-e3be6c30e623}">
          <xlrd:rvb i="215"/>
        </ext>
      </extLst>
    </bk>
    <bk>
      <extLst>
        <ext uri="{3e2802c4-a4d2-4d8b-9148-e3be6c30e623}">
          <xlrd:rvb i="216"/>
        </ext>
      </extLst>
    </bk>
    <bk>
      <extLst>
        <ext uri="{3e2802c4-a4d2-4d8b-9148-e3be6c30e623}">
          <xlrd:rvb i="217"/>
        </ext>
      </extLst>
    </bk>
    <bk>
      <extLst>
        <ext uri="{3e2802c4-a4d2-4d8b-9148-e3be6c30e623}">
          <xlrd:rvb i="218"/>
        </ext>
      </extLst>
    </bk>
    <bk>
      <extLst>
        <ext uri="{3e2802c4-a4d2-4d8b-9148-e3be6c30e623}">
          <xlrd:rvb i="219"/>
        </ext>
      </extLst>
    </bk>
    <bk>
      <extLst>
        <ext uri="{3e2802c4-a4d2-4d8b-9148-e3be6c30e623}">
          <xlrd:rvb i="220"/>
        </ext>
      </extLst>
    </bk>
    <bk>
      <extLst>
        <ext uri="{3e2802c4-a4d2-4d8b-9148-e3be6c30e623}">
          <xlrd:rvb i="221"/>
        </ext>
      </extLst>
    </bk>
    <bk>
      <extLst>
        <ext uri="{3e2802c4-a4d2-4d8b-9148-e3be6c30e623}">
          <xlrd:rvb i="222"/>
        </ext>
      </extLst>
    </bk>
    <bk>
      <extLst>
        <ext uri="{3e2802c4-a4d2-4d8b-9148-e3be6c30e623}">
          <xlrd:rvb i="223"/>
        </ext>
      </extLst>
    </bk>
    <bk>
      <extLst>
        <ext uri="{3e2802c4-a4d2-4d8b-9148-e3be6c30e623}">
          <xlrd:rvb i="224"/>
        </ext>
      </extLst>
    </bk>
    <bk>
      <extLst>
        <ext uri="{3e2802c4-a4d2-4d8b-9148-e3be6c30e623}">
          <xlrd:rvb i="225"/>
        </ext>
      </extLst>
    </bk>
    <bk>
      <extLst>
        <ext uri="{3e2802c4-a4d2-4d8b-9148-e3be6c30e623}">
          <xlrd:rvb i="226"/>
        </ext>
      </extLst>
    </bk>
    <bk>
      <extLst>
        <ext uri="{3e2802c4-a4d2-4d8b-9148-e3be6c30e623}">
          <xlrd:rvb i="227"/>
        </ext>
      </extLst>
    </bk>
    <bk>
      <extLst>
        <ext uri="{3e2802c4-a4d2-4d8b-9148-e3be6c30e623}">
          <xlrd:rvb i="228"/>
        </ext>
      </extLst>
    </bk>
    <bk>
      <extLst>
        <ext uri="{3e2802c4-a4d2-4d8b-9148-e3be6c30e623}">
          <xlrd:rvb i="229"/>
        </ext>
      </extLst>
    </bk>
    <bk>
      <extLst>
        <ext uri="{3e2802c4-a4d2-4d8b-9148-e3be6c30e623}">
          <xlrd:rvb i="230"/>
        </ext>
      </extLst>
    </bk>
    <bk>
      <extLst>
        <ext uri="{3e2802c4-a4d2-4d8b-9148-e3be6c30e623}">
          <xlrd:rvb i="231"/>
        </ext>
      </extLst>
    </bk>
    <bk>
      <extLst>
        <ext uri="{3e2802c4-a4d2-4d8b-9148-e3be6c30e623}">
          <xlrd:rvb i="232"/>
        </ext>
      </extLst>
    </bk>
    <bk>
      <extLst>
        <ext uri="{3e2802c4-a4d2-4d8b-9148-e3be6c30e623}">
          <xlrd:rvb i="233"/>
        </ext>
      </extLst>
    </bk>
    <bk>
      <extLst>
        <ext uri="{3e2802c4-a4d2-4d8b-9148-e3be6c30e623}">
          <xlrd:rvb i="234"/>
        </ext>
      </extLst>
    </bk>
    <bk>
      <extLst>
        <ext uri="{3e2802c4-a4d2-4d8b-9148-e3be6c30e623}">
          <xlrd:rvb i="235"/>
        </ext>
      </extLst>
    </bk>
    <bk>
      <extLst>
        <ext uri="{3e2802c4-a4d2-4d8b-9148-e3be6c30e623}">
          <xlrd:rvb i="236"/>
        </ext>
      </extLst>
    </bk>
    <bk>
      <extLst>
        <ext uri="{3e2802c4-a4d2-4d8b-9148-e3be6c30e623}">
          <xlrd:rvb i="237"/>
        </ext>
      </extLst>
    </bk>
    <bk>
      <extLst>
        <ext uri="{3e2802c4-a4d2-4d8b-9148-e3be6c30e623}">
          <xlrd:rvb i="238"/>
        </ext>
      </extLst>
    </bk>
    <bk>
      <extLst>
        <ext uri="{3e2802c4-a4d2-4d8b-9148-e3be6c30e623}">
          <xlrd:rvb i="239"/>
        </ext>
      </extLst>
    </bk>
    <bk>
      <extLst>
        <ext uri="{3e2802c4-a4d2-4d8b-9148-e3be6c30e623}">
          <xlrd:rvb i="240"/>
        </ext>
      </extLst>
    </bk>
    <bk>
      <extLst>
        <ext uri="{3e2802c4-a4d2-4d8b-9148-e3be6c30e623}">
          <xlrd:rvb i="241"/>
        </ext>
      </extLst>
    </bk>
    <bk>
      <extLst>
        <ext uri="{3e2802c4-a4d2-4d8b-9148-e3be6c30e623}">
          <xlrd:rvb i="242"/>
        </ext>
      </extLst>
    </bk>
    <bk>
      <extLst>
        <ext uri="{3e2802c4-a4d2-4d8b-9148-e3be6c30e623}">
          <xlrd:rvb i="243"/>
        </ext>
      </extLst>
    </bk>
    <bk>
      <extLst>
        <ext uri="{3e2802c4-a4d2-4d8b-9148-e3be6c30e623}">
          <xlrd:rvb i="244"/>
        </ext>
      </extLst>
    </bk>
    <bk>
      <extLst>
        <ext uri="{3e2802c4-a4d2-4d8b-9148-e3be6c30e623}">
          <xlrd:rvb i="245"/>
        </ext>
      </extLst>
    </bk>
    <bk>
      <extLst>
        <ext uri="{3e2802c4-a4d2-4d8b-9148-e3be6c30e623}">
          <xlrd:rvb i="246"/>
        </ext>
      </extLst>
    </bk>
    <bk>
      <extLst>
        <ext uri="{3e2802c4-a4d2-4d8b-9148-e3be6c30e623}">
          <xlrd:rvb i="247"/>
        </ext>
      </extLst>
    </bk>
    <bk>
      <extLst>
        <ext uri="{3e2802c4-a4d2-4d8b-9148-e3be6c30e623}">
          <xlrd:rvb i="248"/>
        </ext>
      </extLst>
    </bk>
    <bk>
      <extLst>
        <ext uri="{3e2802c4-a4d2-4d8b-9148-e3be6c30e623}">
          <xlrd:rvb i="249"/>
        </ext>
      </extLst>
    </bk>
    <bk>
      <extLst>
        <ext uri="{3e2802c4-a4d2-4d8b-9148-e3be6c30e623}">
          <xlrd:rvb i="250"/>
        </ext>
      </extLst>
    </bk>
    <bk>
      <extLst>
        <ext uri="{3e2802c4-a4d2-4d8b-9148-e3be6c30e623}">
          <xlrd:rvb i="251"/>
        </ext>
      </extLst>
    </bk>
    <bk>
      <extLst>
        <ext uri="{3e2802c4-a4d2-4d8b-9148-e3be6c30e623}">
          <xlrd:rvb i="252"/>
        </ext>
      </extLst>
    </bk>
    <bk>
      <extLst>
        <ext uri="{3e2802c4-a4d2-4d8b-9148-e3be6c30e623}">
          <xlrd:rvb i="253"/>
        </ext>
      </extLst>
    </bk>
    <bk>
      <extLst>
        <ext uri="{3e2802c4-a4d2-4d8b-9148-e3be6c30e623}">
          <xlrd:rvb i="254"/>
        </ext>
      </extLst>
    </bk>
    <bk>
      <extLst>
        <ext uri="{3e2802c4-a4d2-4d8b-9148-e3be6c30e623}">
          <xlrd:rvb i="255"/>
        </ext>
      </extLst>
    </bk>
    <bk>
      <extLst>
        <ext uri="{3e2802c4-a4d2-4d8b-9148-e3be6c30e623}">
          <xlrd:rvb i="256"/>
        </ext>
      </extLst>
    </bk>
    <bk>
      <extLst>
        <ext uri="{3e2802c4-a4d2-4d8b-9148-e3be6c30e623}">
          <xlrd:rvb i="257"/>
        </ext>
      </extLst>
    </bk>
    <bk>
      <extLst>
        <ext uri="{3e2802c4-a4d2-4d8b-9148-e3be6c30e623}">
          <xlrd:rvb i="258"/>
        </ext>
      </extLst>
    </bk>
    <bk>
      <extLst>
        <ext uri="{3e2802c4-a4d2-4d8b-9148-e3be6c30e623}">
          <xlrd:rvb i="259"/>
        </ext>
      </extLst>
    </bk>
    <bk>
      <extLst>
        <ext uri="{3e2802c4-a4d2-4d8b-9148-e3be6c30e623}">
          <xlrd:rvb i="260"/>
        </ext>
      </extLst>
    </bk>
    <bk>
      <extLst>
        <ext uri="{3e2802c4-a4d2-4d8b-9148-e3be6c30e623}">
          <xlrd:rvb i="261"/>
        </ext>
      </extLst>
    </bk>
    <bk>
      <extLst>
        <ext uri="{3e2802c4-a4d2-4d8b-9148-e3be6c30e623}">
          <xlrd:rvb i="262"/>
        </ext>
      </extLst>
    </bk>
    <bk>
      <extLst>
        <ext uri="{3e2802c4-a4d2-4d8b-9148-e3be6c30e623}">
          <xlrd:rvb i="263"/>
        </ext>
      </extLst>
    </bk>
    <bk>
      <extLst>
        <ext uri="{3e2802c4-a4d2-4d8b-9148-e3be6c30e623}">
          <xlrd:rvb i="264"/>
        </ext>
      </extLst>
    </bk>
    <bk>
      <extLst>
        <ext uri="{3e2802c4-a4d2-4d8b-9148-e3be6c30e623}">
          <xlrd:rvb i="265"/>
        </ext>
      </extLst>
    </bk>
    <bk>
      <extLst>
        <ext uri="{3e2802c4-a4d2-4d8b-9148-e3be6c30e623}">
          <xlrd:rvb i="266"/>
        </ext>
      </extLst>
    </bk>
    <bk>
      <extLst>
        <ext uri="{3e2802c4-a4d2-4d8b-9148-e3be6c30e623}">
          <xlrd:rvb i="267"/>
        </ext>
      </extLst>
    </bk>
    <bk>
      <extLst>
        <ext uri="{3e2802c4-a4d2-4d8b-9148-e3be6c30e623}">
          <xlrd:rvb i="268"/>
        </ext>
      </extLst>
    </bk>
    <bk>
      <extLst>
        <ext uri="{3e2802c4-a4d2-4d8b-9148-e3be6c30e623}">
          <xlrd:rvb i="269"/>
        </ext>
      </extLst>
    </bk>
    <bk>
      <extLst>
        <ext uri="{3e2802c4-a4d2-4d8b-9148-e3be6c30e623}">
          <xlrd:rvb i="270"/>
        </ext>
      </extLst>
    </bk>
    <bk>
      <extLst>
        <ext uri="{3e2802c4-a4d2-4d8b-9148-e3be6c30e623}">
          <xlrd:rvb i="271"/>
        </ext>
      </extLst>
    </bk>
    <bk>
      <extLst>
        <ext uri="{3e2802c4-a4d2-4d8b-9148-e3be6c30e623}">
          <xlrd:rvb i="272"/>
        </ext>
      </extLst>
    </bk>
    <bk>
      <extLst>
        <ext uri="{3e2802c4-a4d2-4d8b-9148-e3be6c30e623}">
          <xlrd:rvb i="273"/>
        </ext>
      </extLst>
    </bk>
    <bk>
      <extLst>
        <ext uri="{3e2802c4-a4d2-4d8b-9148-e3be6c30e623}">
          <xlrd:rvb i="274"/>
        </ext>
      </extLst>
    </bk>
    <bk>
      <extLst>
        <ext uri="{3e2802c4-a4d2-4d8b-9148-e3be6c30e623}">
          <xlrd:rvb i="275"/>
        </ext>
      </extLst>
    </bk>
    <bk>
      <extLst>
        <ext uri="{3e2802c4-a4d2-4d8b-9148-e3be6c30e623}">
          <xlrd:rvb i="276"/>
        </ext>
      </extLst>
    </bk>
    <bk>
      <extLst>
        <ext uri="{3e2802c4-a4d2-4d8b-9148-e3be6c30e623}">
          <xlrd:rvb i="277"/>
        </ext>
      </extLst>
    </bk>
    <bk>
      <extLst>
        <ext uri="{3e2802c4-a4d2-4d8b-9148-e3be6c30e623}">
          <xlrd:rvb i="278"/>
        </ext>
      </extLst>
    </bk>
    <bk>
      <extLst>
        <ext uri="{3e2802c4-a4d2-4d8b-9148-e3be6c30e623}">
          <xlrd:rvb i="279"/>
        </ext>
      </extLst>
    </bk>
    <bk>
      <extLst>
        <ext uri="{3e2802c4-a4d2-4d8b-9148-e3be6c30e623}">
          <xlrd:rvb i="280"/>
        </ext>
      </extLst>
    </bk>
    <bk>
      <extLst>
        <ext uri="{3e2802c4-a4d2-4d8b-9148-e3be6c30e623}">
          <xlrd:rvb i="281"/>
        </ext>
      </extLst>
    </bk>
    <bk>
      <extLst>
        <ext uri="{3e2802c4-a4d2-4d8b-9148-e3be6c30e623}">
          <xlrd:rvb i="282"/>
        </ext>
      </extLst>
    </bk>
    <bk>
      <extLst>
        <ext uri="{3e2802c4-a4d2-4d8b-9148-e3be6c30e623}">
          <xlrd:rvb i="283"/>
        </ext>
      </extLst>
    </bk>
    <bk>
      <extLst>
        <ext uri="{3e2802c4-a4d2-4d8b-9148-e3be6c30e623}">
          <xlrd:rvb i="284"/>
        </ext>
      </extLst>
    </bk>
    <bk>
      <extLst>
        <ext uri="{3e2802c4-a4d2-4d8b-9148-e3be6c30e623}">
          <xlrd:rvb i="285"/>
        </ext>
      </extLst>
    </bk>
    <bk>
      <extLst>
        <ext uri="{3e2802c4-a4d2-4d8b-9148-e3be6c30e623}">
          <xlrd:rvb i="286"/>
        </ext>
      </extLst>
    </bk>
    <bk>
      <extLst>
        <ext uri="{3e2802c4-a4d2-4d8b-9148-e3be6c30e623}">
          <xlrd:rvb i="287"/>
        </ext>
      </extLst>
    </bk>
    <bk>
      <extLst>
        <ext uri="{3e2802c4-a4d2-4d8b-9148-e3be6c30e623}">
          <xlrd:rvb i="288"/>
        </ext>
      </extLst>
    </bk>
    <bk>
      <extLst>
        <ext uri="{3e2802c4-a4d2-4d8b-9148-e3be6c30e623}">
          <xlrd:rvb i="289"/>
        </ext>
      </extLst>
    </bk>
    <bk>
      <extLst>
        <ext uri="{3e2802c4-a4d2-4d8b-9148-e3be6c30e623}">
          <xlrd:rvb i="290"/>
        </ext>
      </extLst>
    </bk>
    <bk>
      <extLst>
        <ext uri="{3e2802c4-a4d2-4d8b-9148-e3be6c30e623}">
          <xlrd:rvb i="291"/>
        </ext>
      </extLst>
    </bk>
    <bk>
      <extLst>
        <ext uri="{3e2802c4-a4d2-4d8b-9148-e3be6c30e623}">
          <xlrd:rvb i="292"/>
        </ext>
      </extLst>
    </bk>
    <bk>
      <extLst>
        <ext uri="{3e2802c4-a4d2-4d8b-9148-e3be6c30e623}">
          <xlrd:rvb i="293"/>
        </ext>
      </extLst>
    </bk>
    <bk>
      <extLst>
        <ext uri="{3e2802c4-a4d2-4d8b-9148-e3be6c30e623}">
          <xlrd:rvb i="294"/>
        </ext>
      </extLst>
    </bk>
    <bk>
      <extLst>
        <ext uri="{3e2802c4-a4d2-4d8b-9148-e3be6c30e623}">
          <xlrd:rvb i="295"/>
        </ext>
      </extLst>
    </bk>
    <bk>
      <extLst>
        <ext uri="{3e2802c4-a4d2-4d8b-9148-e3be6c30e623}">
          <xlrd:rvb i="296"/>
        </ext>
      </extLst>
    </bk>
    <bk>
      <extLst>
        <ext uri="{3e2802c4-a4d2-4d8b-9148-e3be6c30e623}">
          <xlrd:rvb i="297"/>
        </ext>
      </extLst>
    </bk>
    <bk>
      <extLst>
        <ext uri="{3e2802c4-a4d2-4d8b-9148-e3be6c30e623}">
          <xlrd:rvb i="298"/>
        </ext>
      </extLst>
    </bk>
    <bk>
      <extLst>
        <ext uri="{3e2802c4-a4d2-4d8b-9148-e3be6c30e623}">
          <xlrd:rvb i="299"/>
        </ext>
      </extLst>
    </bk>
    <bk>
      <extLst>
        <ext uri="{3e2802c4-a4d2-4d8b-9148-e3be6c30e623}">
          <xlrd:rvb i="300"/>
        </ext>
      </extLst>
    </bk>
    <bk>
      <extLst>
        <ext uri="{3e2802c4-a4d2-4d8b-9148-e3be6c30e623}">
          <xlrd:rvb i="301"/>
        </ext>
      </extLst>
    </bk>
    <bk>
      <extLst>
        <ext uri="{3e2802c4-a4d2-4d8b-9148-e3be6c30e623}">
          <xlrd:rvb i="302"/>
        </ext>
      </extLst>
    </bk>
    <bk>
      <extLst>
        <ext uri="{3e2802c4-a4d2-4d8b-9148-e3be6c30e623}">
          <xlrd:rvb i="303"/>
        </ext>
      </extLst>
    </bk>
    <bk>
      <extLst>
        <ext uri="{3e2802c4-a4d2-4d8b-9148-e3be6c30e623}">
          <xlrd:rvb i="304"/>
        </ext>
      </extLst>
    </bk>
    <bk>
      <extLst>
        <ext uri="{3e2802c4-a4d2-4d8b-9148-e3be6c30e623}">
          <xlrd:rvb i="305"/>
        </ext>
      </extLst>
    </bk>
    <bk>
      <extLst>
        <ext uri="{3e2802c4-a4d2-4d8b-9148-e3be6c30e623}">
          <xlrd:rvb i="306"/>
        </ext>
      </extLst>
    </bk>
    <bk>
      <extLst>
        <ext uri="{3e2802c4-a4d2-4d8b-9148-e3be6c30e623}">
          <xlrd:rvb i="307"/>
        </ext>
      </extLst>
    </bk>
    <bk>
      <extLst>
        <ext uri="{3e2802c4-a4d2-4d8b-9148-e3be6c30e623}">
          <xlrd:rvb i="308"/>
        </ext>
      </extLst>
    </bk>
    <bk>
      <extLst>
        <ext uri="{3e2802c4-a4d2-4d8b-9148-e3be6c30e623}">
          <xlrd:rvb i="309"/>
        </ext>
      </extLst>
    </bk>
    <bk>
      <extLst>
        <ext uri="{3e2802c4-a4d2-4d8b-9148-e3be6c30e623}">
          <xlrd:rvb i="310"/>
        </ext>
      </extLst>
    </bk>
    <bk>
      <extLst>
        <ext uri="{3e2802c4-a4d2-4d8b-9148-e3be6c30e623}">
          <xlrd:rvb i="311"/>
        </ext>
      </extLst>
    </bk>
    <bk>
      <extLst>
        <ext uri="{3e2802c4-a4d2-4d8b-9148-e3be6c30e623}">
          <xlrd:rvb i="312"/>
        </ext>
      </extLst>
    </bk>
    <bk>
      <extLst>
        <ext uri="{3e2802c4-a4d2-4d8b-9148-e3be6c30e623}">
          <xlrd:rvb i="313"/>
        </ext>
      </extLst>
    </bk>
    <bk>
      <extLst>
        <ext uri="{3e2802c4-a4d2-4d8b-9148-e3be6c30e623}">
          <xlrd:rvb i="314"/>
        </ext>
      </extLst>
    </bk>
    <bk>
      <extLst>
        <ext uri="{3e2802c4-a4d2-4d8b-9148-e3be6c30e623}">
          <xlrd:rvb i="315"/>
        </ext>
      </extLst>
    </bk>
    <bk>
      <extLst>
        <ext uri="{3e2802c4-a4d2-4d8b-9148-e3be6c30e623}">
          <xlrd:rvb i="316"/>
        </ext>
      </extLst>
    </bk>
    <bk>
      <extLst>
        <ext uri="{3e2802c4-a4d2-4d8b-9148-e3be6c30e623}">
          <xlrd:rvb i="317"/>
        </ext>
      </extLst>
    </bk>
    <bk>
      <extLst>
        <ext uri="{3e2802c4-a4d2-4d8b-9148-e3be6c30e623}">
          <xlrd:rvb i="318"/>
        </ext>
      </extLst>
    </bk>
    <bk>
      <extLst>
        <ext uri="{3e2802c4-a4d2-4d8b-9148-e3be6c30e623}">
          <xlrd:rvb i="319"/>
        </ext>
      </extLst>
    </bk>
    <bk>
      <extLst>
        <ext uri="{3e2802c4-a4d2-4d8b-9148-e3be6c30e623}">
          <xlrd:rvb i="320"/>
        </ext>
      </extLst>
    </bk>
    <bk>
      <extLst>
        <ext uri="{3e2802c4-a4d2-4d8b-9148-e3be6c30e623}">
          <xlrd:rvb i="321"/>
        </ext>
      </extLst>
    </bk>
    <bk>
      <extLst>
        <ext uri="{3e2802c4-a4d2-4d8b-9148-e3be6c30e623}">
          <xlrd:rvb i="322"/>
        </ext>
      </extLst>
    </bk>
    <bk>
      <extLst>
        <ext uri="{3e2802c4-a4d2-4d8b-9148-e3be6c30e623}">
          <xlrd:rvb i="323"/>
        </ext>
      </extLst>
    </bk>
    <bk>
      <extLst>
        <ext uri="{3e2802c4-a4d2-4d8b-9148-e3be6c30e623}">
          <xlrd:rvb i="324"/>
        </ext>
      </extLst>
    </bk>
    <bk>
      <extLst>
        <ext uri="{3e2802c4-a4d2-4d8b-9148-e3be6c30e623}">
          <xlrd:rvb i="325"/>
        </ext>
      </extLst>
    </bk>
    <bk>
      <extLst>
        <ext uri="{3e2802c4-a4d2-4d8b-9148-e3be6c30e623}">
          <xlrd:rvb i="326"/>
        </ext>
      </extLst>
    </bk>
    <bk>
      <extLst>
        <ext uri="{3e2802c4-a4d2-4d8b-9148-e3be6c30e623}">
          <xlrd:rvb i="327"/>
        </ext>
      </extLst>
    </bk>
    <bk>
      <extLst>
        <ext uri="{3e2802c4-a4d2-4d8b-9148-e3be6c30e623}">
          <xlrd:rvb i="328"/>
        </ext>
      </extLst>
    </bk>
    <bk>
      <extLst>
        <ext uri="{3e2802c4-a4d2-4d8b-9148-e3be6c30e623}">
          <xlrd:rvb i="329"/>
        </ext>
      </extLst>
    </bk>
    <bk>
      <extLst>
        <ext uri="{3e2802c4-a4d2-4d8b-9148-e3be6c30e623}">
          <xlrd:rvb i="330"/>
        </ext>
      </extLst>
    </bk>
    <bk>
      <extLst>
        <ext uri="{3e2802c4-a4d2-4d8b-9148-e3be6c30e623}">
          <xlrd:rvb i="331"/>
        </ext>
      </extLst>
    </bk>
    <bk>
      <extLst>
        <ext uri="{3e2802c4-a4d2-4d8b-9148-e3be6c30e623}">
          <xlrd:rvb i="332"/>
        </ext>
      </extLst>
    </bk>
    <bk>
      <extLst>
        <ext uri="{3e2802c4-a4d2-4d8b-9148-e3be6c30e623}">
          <xlrd:rvb i="333"/>
        </ext>
      </extLst>
    </bk>
    <bk>
      <extLst>
        <ext uri="{3e2802c4-a4d2-4d8b-9148-e3be6c30e623}">
          <xlrd:rvb i="334"/>
        </ext>
      </extLst>
    </bk>
    <bk>
      <extLst>
        <ext uri="{3e2802c4-a4d2-4d8b-9148-e3be6c30e623}">
          <xlrd:rvb i="335"/>
        </ext>
      </extLst>
    </bk>
    <bk>
      <extLst>
        <ext uri="{3e2802c4-a4d2-4d8b-9148-e3be6c30e623}">
          <xlrd:rvb i="336"/>
        </ext>
      </extLst>
    </bk>
    <bk>
      <extLst>
        <ext uri="{3e2802c4-a4d2-4d8b-9148-e3be6c30e623}">
          <xlrd:rvb i="337"/>
        </ext>
      </extLst>
    </bk>
    <bk>
      <extLst>
        <ext uri="{3e2802c4-a4d2-4d8b-9148-e3be6c30e623}">
          <xlrd:rvb i="338"/>
        </ext>
      </extLst>
    </bk>
    <bk>
      <extLst>
        <ext uri="{3e2802c4-a4d2-4d8b-9148-e3be6c30e623}">
          <xlrd:rvb i="339"/>
        </ext>
      </extLst>
    </bk>
    <bk>
      <extLst>
        <ext uri="{3e2802c4-a4d2-4d8b-9148-e3be6c30e623}">
          <xlrd:rvb i="340"/>
        </ext>
      </extLst>
    </bk>
    <bk>
      <extLst>
        <ext uri="{3e2802c4-a4d2-4d8b-9148-e3be6c30e623}">
          <xlrd:rvb i="341"/>
        </ext>
      </extLst>
    </bk>
    <bk>
      <extLst>
        <ext uri="{3e2802c4-a4d2-4d8b-9148-e3be6c30e623}">
          <xlrd:rvb i="342"/>
        </ext>
      </extLst>
    </bk>
    <bk>
      <extLst>
        <ext uri="{3e2802c4-a4d2-4d8b-9148-e3be6c30e623}">
          <xlrd:rvb i="343"/>
        </ext>
      </extLst>
    </bk>
    <bk>
      <extLst>
        <ext uri="{3e2802c4-a4d2-4d8b-9148-e3be6c30e623}">
          <xlrd:rvb i="344"/>
        </ext>
      </extLst>
    </bk>
    <bk>
      <extLst>
        <ext uri="{3e2802c4-a4d2-4d8b-9148-e3be6c30e623}">
          <xlrd:rvb i="345"/>
        </ext>
      </extLst>
    </bk>
    <bk>
      <extLst>
        <ext uri="{3e2802c4-a4d2-4d8b-9148-e3be6c30e623}">
          <xlrd:rvb i="346"/>
        </ext>
      </extLst>
    </bk>
    <bk>
      <extLst>
        <ext uri="{3e2802c4-a4d2-4d8b-9148-e3be6c30e623}">
          <xlrd:rvb i="347"/>
        </ext>
      </extLst>
    </bk>
    <bk>
      <extLst>
        <ext uri="{3e2802c4-a4d2-4d8b-9148-e3be6c30e623}">
          <xlrd:rvb i="348"/>
        </ext>
      </extLst>
    </bk>
    <bk>
      <extLst>
        <ext uri="{3e2802c4-a4d2-4d8b-9148-e3be6c30e623}">
          <xlrd:rvb i="349"/>
        </ext>
      </extLst>
    </bk>
    <bk>
      <extLst>
        <ext uri="{3e2802c4-a4d2-4d8b-9148-e3be6c30e623}">
          <xlrd:rvb i="350"/>
        </ext>
      </extLst>
    </bk>
    <bk>
      <extLst>
        <ext uri="{3e2802c4-a4d2-4d8b-9148-e3be6c30e623}">
          <xlrd:rvb i="351"/>
        </ext>
      </extLst>
    </bk>
    <bk>
      <extLst>
        <ext uri="{3e2802c4-a4d2-4d8b-9148-e3be6c30e623}">
          <xlrd:rvb i="352"/>
        </ext>
      </extLst>
    </bk>
    <bk>
      <extLst>
        <ext uri="{3e2802c4-a4d2-4d8b-9148-e3be6c30e623}">
          <xlrd:rvb i="353"/>
        </ext>
      </extLst>
    </bk>
    <bk>
      <extLst>
        <ext uri="{3e2802c4-a4d2-4d8b-9148-e3be6c30e623}">
          <xlrd:rvb i="354"/>
        </ext>
      </extLst>
    </bk>
    <bk>
      <extLst>
        <ext uri="{3e2802c4-a4d2-4d8b-9148-e3be6c30e623}">
          <xlrd:rvb i="355"/>
        </ext>
      </extLst>
    </bk>
    <bk>
      <extLst>
        <ext uri="{3e2802c4-a4d2-4d8b-9148-e3be6c30e623}">
          <xlrd:rvb i="356"/>
        </ext>
      </extLst>
    </bk>
    <bk>
      <extLst>
        <ext uri="{3e2802c4-a4d2-4d8b-9148-e3be6c30e623}">
          <xlrd:rvb i="357"/>
        </ext>
      </extLst>
    </bk>
    <bk>
      <extLst>
        <ext uri="{3e2802c4-a4d2-4d8b-9148-e3be6c30e623}">
          <xlrd:rvb i="358"/>
        </ext>
      </extLst>
    </bk>
    <bk>
      <extLst>
        <ext uri="{3e2802c4-a4d2-4d8b-9148-e3be6c30e623}">
          <xlrd:rvb i="359"/>
        </ext>
      </extLst>
    </bk>
    <bk>
      <extLst>
        <ext uri="{3e2802c4-a4d2-4d8b-9148-e3be6c30e623}">
          <xlrd:rvb i="360"/>
        </ext>
      </extLst>
    </bk>
    <bk>
      <extLst>
        <ext uri="{3e2802c4-a4d2-4d8b-9148-e3be6c30e623}">
          <xlrd:rvb i="361"/>
        </ext>
      </extLst>
    </bk>
    <bk>
      <extLst>
        <ext uri="{3e2802c4-a4d2-4d8b-9148-e3be6c30e623}">
          <xlrd:rvb i="362"/>
        </ext>
      </extLst>
    </bk>
    <bk>
      <extLst>
        <ext uri="{3e2802c4-a4d2-4d8b-9148-e3be6c30e623}">
          <xlrd:rvb i="363"/>
        </ext>
      </extLst>
    </bk>
    <bk>
      <extLst>
        <ext uri="{3e2802c4-a4d2-4d8b-9148-e3be6c30e623}">
          <xlrd:rvb i="364"/>
        </ext>
      </extLst>
    </bk>
    <bk>
      <extLst>
        <ext uri="{3e2802c4-a4d2-4d8b-9148-e3be6c30e623}">
          <xlrd:rvb i="365"/>
        </ext>
      </extLst>
    </bk>
    <bk>
      <extLst>
        <ext uri="{3e2802c4-a4d2-4d8b-9148-e3be6c30e623}">
          <xlrd:rvb i="366"/>
        </ext>
      </extLst>
    </bk>
    <bk>
      <extLst>
        <ext uri="{3e2802c4-a4d2-4d8b-9148-e3be6c30e623}">
          <xlrd:rvb i="367"/>
        </ext>
      </extLst>
    </bk>
    <bk>
      <extLst>
        <ext uri="{3e2802c4-a4d2-4d8b-9148-e3be6c30e623}">
          <xlrd:rvb i="368"/>
        </ext>
      </extLst>
    </bk>
    <bk>
      <extLst>
        <ext uri="{3e2802c4-a4d2-4d8b-9148-e3be6c30e623}">
          <xlrd:rvb i="369"/>
        </ext>
      </extLst>
    </bk>
    <bk>
      <extLst>
        <ext uri="{3e2802c4-a4d2-4d8b-9148-e3be6c30e623}">
          <xlrd:rvb i="370"/>
        </ext>
      </extLst>
    </bk>
    <bk>
      <extLst>
        <ext uri="{3e2802c4-a4d2-4d8b-9148-e3be6c30e623}">
          <xlrd:rvb i="371"/>
        </ext>
      </extLst>
    </bk>
    <bk>
      <extLst>
        <ext uri="{3e2802c4-a4d2-4d8b-9148-e3be6c30e623}">
          <xlrd:rvb i="372"/>
        </ext>
      </extLst>
    </bk>
    <bk>
      <extLst>
        <ext uri="{3e2802c4-a4d2-4d8b-9148-e3be6c30e623}">
          <xlrd:rvb i="373"/>
        </ext>
      </extLst>
    </bk>
    <bk>
      <extLst>
        <ext uri="{3e2802c4-a4d2-4d8b-9148-e3be6c30e623}">
          <xlrd:rvb i="374"/>
        </ext>
      </extLst>
    </bk>
    <bk>
      <extLst>
        <ext uri="{3e2802c4-a4d2-4d8b-9148-e3be6c30e623}">
          <xlrd:rvb i="375"/>
        </ext>
      </extLst>
    </bk>
    <bk>
      <extLst>
        <ext uri="{3e2802c4-a4d2-4d8b-9148-e3be6c30e623}">
          <xlrd:rvb i="376"/>
        </ext>
      </extLst>
    </bk>
  </futureMetadata>
  <cellMetadata count="1">
    <bk>
      <rc t="1" v="0"/>
    </bk>
  </cellMetadata>
  <valueMetadata count="37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  <bk>
      <rc t="2" v="128"/>
    </bk>
    <bk>
      <rc t="2" v="129"/>
    </bk>
    <bk>
      <rc t="2" v="130"/>
    </bk>
    <bk>
      <rc t="2" v="131"/>
    </bk>
    <bk>
      <rc t="2" v="132"/>
    </bk>
    <bk>
      <rc t="2" v="133"/>
    </bk>
    <bk>
      <rc t="2" v="134"/>
    </bk>
    <bk>
      <rc t="2" v="135"/>
    </bk>
    <bk>
      <rc t="2" v="136"/>
    </bk>
    <bk>
      <rc t="2" v="137"/>
    </bk>
    <bk>
      <rc t="2" v="138"/>
    </bk>
    <bk>
      <rc t="2" v="139"/>
    </bk>
    <bk>
      <rc t="2" v="140"/>
    </bk>
    <bk>
      <rc t="2" v="141"/>
    </bk>
    <bk>
      <rc t="2" v="142"/>
    </bk>
    <bk>
      <rc t="2" v="143"/>
    </bk>
    <bk>
      <rc t="2" v="144"/>
    </bk>
    <bk>
      <rc t="2" v="145"/>
    </bk>
    <bk>
      <rc t="2" v="146"/>
    </bk>
    <bk>
      <rc t="2" v="147"/>
    </bk>
    <bk>
      <rc t="2" v="148"/>
    </bk>
    <bk>
      <rc t="2" v="149"/>
    </bk>
    <bk>
      <rc t="2" v="150"/>
    </bk>
    <bk>
      <rc t="2" v="151"/>
    </bk>
    <bk>
      <rc t="2" v="152"/>
    </bk>
    <bk>
      <rc t="2" v="153"/>
    </bk>
    <bk>
      <rc t="2" v="154"/>
    </bk>
    <bk>
      <rc t="2" v="155"/>
    </bk>
    <bk>
      <rc t="2" v="156"/>
    </bk>
    <bk>
      <rc t="2" v="157"/>
    </bk>
    <bk>
      <rc t="2" v="158"/>
    </bk>
    <bk>
      <rc t="2" v="159"/>
    </bk>
    <bk>
      <rc t="2" v="160"/>
    </bk>
    <bk>
      <rc t="2" v="161"/>
    </bk>
    <bk>
      <rc t="2" v="162"/>
    </bk>
    <bk>
      <rc t="2" v="163"/>
    </bk>
    <bk>
      <rc t="2" v="164"/>
    </bk>
    <bk>
      <rc t="2" v="165"/>
    </bk>
    <bk>
      <rc t="2" v="166"/>
    </bk>
    <bk>
      <rc t="2" v="167"/>
    </bk>
    <bk>
      <rc t="2" v="168"/>
    </bk>
    <bk>
      <rc t="2" v="169"/>
    </bk>
    <bk>
      <rc t="2" v="170"/>
    </bk>
    <bk>
      <rc t="2" v="171"/>
    </bk>
    <bk>
      <rc t="2" v="172"/>
    </bk>
    <bk>
      <rc t="2" v="173"/>
    </bk>
    <bk>
      <rc t="2" v="174"/>
    </bk>
    <bk>
      <rc t="2" v="175"/>
    </bk>
    <bk>
      <rc t="2" v="176"/>
    </bk>
    <bk>
      <rc t="2" v="177"/>
    </bk>
    <bk>
      <rc t="2" v="178"/>
    </bk>
    <bk>
      <rc t="2" v="179"/>
    </bk>
    <bk>
      <rc t="2" v="180"/>
    </bk>
    <bk>
      <rc t="2" v="181"/>
    </bk>
    <bk>
      <rc t="2" v="182"/>
    </bk>
    <bk>
      <rc t="2" v="183"/>
    </bk>
    <bk>
      <rc t="2" v="184"/>
    </bk>
    <bk>
      <rc t="2" v="185"/>
    </bk>
    <bk>
      <rc t="2" v="186"/>
    </bk>
    <bk>
      <rc t="2" v="187"/>
    </bk>
    <bk>
      <rc t="2" v="188"/>
    </bk>
    <bk>
      <rc t="2" v="189"/>
    </bk>
    <bk>
      <rc t="2" v="190"/>
    </bk>
    <bk>
      <rc t="2" v="191"/>
    </bk>
    <bk>
      <rc t="2" v="192"/>
    </bk>
    <bk>
      <rc t="2" v="193"/>
    </bk>
    <bk>
      <rc t="2" v="194"/>
    </bk>
    <bk>
      <rc t="2" v="195"/>
    </bk>
    <bk>
      <rc t="2" v="196"/>
    </bk>
    <bk>
      <rc t="2" v="197"/>
    </bk>
    <bk>
      <rc t="2" v="198"/>
    </bk>
    <bk>
      <rc t="2" v="199"/>
    </bk>
    <bk>
      <rc t="2" v="200"/>
    </bk>
    <bk>
      <rc t="2" v="201"/>
    </bk>
    <bk>
      <rc t="2" v="202"/>
    </bk>
    <bk>
      <rc t="2" v="203"/>
    </bk>
    <bk>
      <rc t="2" v="204"/>
    </bk>
    <bk>
      <rc t="2" v="205"/>
    </bk>
    <bk>
      <rc t="2" v="206"/>
    </bk>
    <bk>
      <rc t="2" v="207"/>
    </bk>
    <bk>
      <rc t="2" v="208"/>
    </bk>
    <bk>
      <rc t="2" v="209"/>
    </bk>
    <bk>
      <rc t="2" v="210"/>
    </bk>
    <bk>
      <rc t="2" v="211"/>
    </bk>
    <bk>
      <rc t="2" v="212"/>
    </bk>
    <bk>
      <rc t="2" v="213"/>
    </bk>
    <bk>
      <rc t="2" v="214"/>
    </bk>
    <bk>
      <rc t="2" v="215"/>
    </bk>
    <bk>
      <rc t="2" v="216"/>
    </bk>
    <bk>
      <rc t="2" v="217"/>
    </bk>
    <bk>
      <rc t="2" v="218"/>
    </bk>
    <bk>
      <rc t="2" v="219"/>
    </bk>
    <bk>
      <rc t="2" v="220"/>
    </bk>
    <bk>
      <rc t="2" v="221"/>
    </bk>
    <bk>
      <rc t="2" v="222"/>
    </bk>
    <bk>
      <rc t="2" v="223"/>
    </bk>
    <bk>
      <rc t="2" v="224"/>
    </bk>
    <bk>
      <rc t="2" v="225"/>
    </bk>
    <bk>
      <rc t="2" v="226"/>
    </bk>
    <bk>
      <rc t="2" v="227"/>
    </bk>
    <bk>
      <rc t="2" v="228"/>
    </bk>
    <bk>
      <rc t="2" v="229"/>
    </bk>
    <bk>
      <rc t="2" v="230"/>
    </bk>
    <bk>
      <rc t="2" v="231"/>
    </bk>
    <bk>
      <rc t="2" v="232"/>
    </bk>
    <bk>
      <rc t="2" v="233"/>
    </bk>
    <bk>
      <rc t="2" v="234"/>
    </bk>
    <bk>
      <rc t="2" v="235"/>
    </bk>
    <bk>
      <rc t="2" v="236"/>
    </bk>
    <bk>
      <rc t="2" v="237"/>
    </bk>
    <bk>
      <rc t="2" v="238"/>
    </bk>
    <bk>
      <rc t="2" v="239"/>
    </bk>
    <bk>
      <rc t="2" v="240"/>
    </bk>
    <bk>
      <rc t="2" v="241"/>
    </bk>
    <bk>
      <rc t="2" v="242"/>
    </bk>
    <bk>
      <rc t="2" v="243"/>
    </bk>
    <bk>
      <rc t="2" v="244"/>
    </bk>
    <bk>
      <rc t="2" v="245"/>
    </bk>
    <bk>
      <rc t="2" v="246"/>
    </bk>
    <bk>
      <rc t="2" v="247"/>
    </bk>
    <bk>
      <rc t="2" v="248"/>
    </bk>
    <bk>
      <rc t="2" v="249"/>
    </bk>
    <bk>
      <rc t="2" v="250"/>
    </bk>
    <bk>
      <rc t="2" v="251"/>
    </bk>
    <bk>
      <rc t="2" v="252"/>
    </bk>
    <bk>
      <rc t="2" v="253"/>
    </bk>
    <bk>
      <rc t="2" v="254"/>
    </bk>
    <bk>
      <rc t="2" v="255"/>
    </bk>
    <bk>
      <rc t="2" v="256"/>
    </bk>
    <bk>
      <rc t="2" v="257"/>
    </bk>
    <bk>
      <rc t="2" v="258"/>
    </bk>
    <bk>
      <rc t="2" v="259"/>
    </bk>
    <bk>
      <rc t="2" v="260"/>
    </bk>
    <bk>
      <rc t="2" v="261"/>
    </bk>
    <bk>
      <rc t="2" v="262"/>
    </bk>
    <bk>
      <rc t="2" v="263"/>
    </bk>
    <bk>
      <rc t="2" v="264"/>
    </bk>
    <bk>
      <rc t="2" v="265"/>
    </bk>
    <bk>
      <rc t="2" v="266"/>
    </bk>
    <bk>
      <rc t="2" v="267"/>
    </bk>
    <bk>
      <rc t="2" v="268"/>
    </bk>
    <bk>
      <rc t="2" v="269"/>
    </bk>
    <bk>
      <rc t="2" v="270"/>
    </bk>
    <bk>
      <rc t="2" v="271"/>
    </bk>
    <bk>
      <rc t="2" v="272"/>
    </bk>
    <bk>
      <rc t="2" v="273"/>
    </bk>
    <bk>
      <rc t="2" v="274"/>
    </bk>
    <bk>
      <rc t="2" v="275"/>
    </bk>
    <bk>
      <rc t="2" v="276"/>
    </bk>
    <bk>
      <rc t="2" v="277"/>
    </bk>
    <bk>
      <rc t="2" v="278"/>
    </bk>
    <bk>
      <rc t="2" v="279"/>
    </bk>
    <bk>
      <rc t="2" v="280"/>
    </bk>
    <bk>
      <rc t="2" v="281"/>
    </bk>
    <bk>
      <rc t="2" v="282"/>
    </bk>
    <bk>
      <rc t="2" v="283"/>
    </bk>
    <bk>
      <rc t="2" v="284"/>
    </bk>
    <bk>
      <rc t="2" v="285"/>
    </bk>
    <bk>
      <rc t="2" v="286"/>
    </bk>
    <bk>
      <rc t="2" v="287"/>
    </bk>
    <bk>
      <rc t="2" v="288"/>
    </bk>
    <bk>
      <rc t="2" v="289"/>
    </bk>
    <bk>
      <rc t="2" v="290"/>
    </bk>
    <bk>
      <rc t="2" v="291"/>
    </bk>
    <bk>
      <rc t="2" v="292"/>
    </bk>
    <bk>
      <rc t="2" v="293"/>
    </bk>
    <bk>
      <rc t="2" v="294"/>
    </bk>
    <bk>
      <rc t="2" v="295"/>
    </bk>
    <bk>
      <rc t="2" v="296"/>
    </bk>
    <bk>
      <rc t="2" v="297"/>
    </bk>
    <bk>
      <rc t="2" v="298"/>
    </bk>
    <bk>
      <rc t="2" v="299"/>
    </bk>
    <bk>
      <rc t="2" v="300"/>
    </bk>
    <bk>
      <rc t="2" v="301"/>
    </bk>
    <bk>
      <rc t="2" v="302"/>
    </bk>
    <bk>
      <rc t="2" v="303"/>
    </bk>
    <bk>
      <rc t="2" v="304"/>
    </bk>
    <bk>
      <rc t="2" v="305"/>
    </bk>
    <bk>
      <rc t="2" v="306"/>
    </bk>
    <bk>
      <rc t="2" v="307"/>
    </bk>
    <bk>
      <rc t="2" v="308"/>
    </bk>
    <bk>
      <rc t="2" v="309"/>
    </bk>
    <bk>
      <rc t="2" v="310"/>
    </bk>
    <bk>
      <rc t="2" v="311"/>
    </bk>
    <bk>
      <rc t="2" v="312"/>
    </bk>
    <bk>
      <rc t="2" v="313"/>
    </bk>
    <bk>
      <rc t="2" v="314"/>
    </bk>
    <bk>
      <rc t="2" v="315"/>
    </bk>
    <bk>
      <rc t="2" v="316"/>
    </bk>
    <bk>
      <rc t="2" v="317"/>
    </bk>
    <bk>
      <rc t="2" v="318"/>
    </bk>
    <bk>
      <rc t="2" v="319"/>
    </bk>
    <bk>
      <rc t="2" v="320"/>
    </bk>
    <bk>
      <rc t="2" v="321"/>
    </bk>
    <bk>
      <rc t="2" v="322"/>
    </bk>
    <bk>
      <rc t="2" v="323"/>
    </bk>
    <bk>
      <rc t="2" v="324"/>
    </bk>
    <bk>
      <rc t="2" v="325"/>
    </bk>
    <bk>
      <rc t="2" v="326"/>
    </bk>
    <bk>
      <rc t="2" v="327"/>
    </bk>
    <bk>
      <rc t="2" v="328"/>
    </bk>
    <bk>
      <rc t="2" v="329"/>
    </bk>
    <bk>
      <rc t="2" v="330"/>
    </bk>
    <bk>
      <rc t="2" v="331"/>
    </bk>
    <bk>
      <rc t="2" v="332"/>
    </bk>
    <bk>
      <rc t="2" v="333"/>
    </bk>
    <bk>
      <rc t="2" v="334"/>
    </bk>
    <bk>
      <rc t="2" v="335"/>
    </bk>
    <bk>
      <rc t="2" v="336"/>
    </bk>
    <bk>
      <rc t="2" v="337"/>
    </bk>
    <bk>
      <rc t="2" v="338"/>
    </bk>
    <bk>
      <rc t="2" v="339"/>
    </bk>
    <bk>
      <rc t="2" v="340"/>
    </bk>
    <bk>
      <rc t="2" v="341"/>
    </bk>
    <bk>
      <rc t="2" v="342"/>
    </bk>
    <bk>
      <rc t="2" v="343"/>
    </bk>
    <bk>
      <rc t="2" v="344"/>
    </bk>
    <bk>
      <rc t="2" v="345"/>
    </bk>
    <bk>
      <rc t="2" v="346"/>
    </bk>
    <bk>
      <rc t="2" v="347"/>
    </bk>
    <bk>
      <rc t="2" v="348"/>
    </bk>
    <bk>
      <rc t="2" v="349"/>
    </bk>
    <bk>
      <rc t="2" v="350"/>
    </bk>
    <bk>
      <rc t="2" v="351"/>
    </bk>
    <bk>
      <rc t="2" v="352"/>
    </bk>
    <bk>
      <rc t="2" v="353"/>
    </bk>
    <bk>
      <rc t="2" v="354"/>
    </bk>
    <bk>
      <rc t="2" v="355"/>
    </bk>
    <bk>
      <rc t="2" v="356"/>
    </bk>
    <bk>
      <rc t="2" v="357"/>
    </bk>
    <bk>
      <rc t="2" v="358"/>
    </bk>
    <bk>
      <rc t="2" v="359"/>
    </bk>
    <bk>
      <rc t="2" v="360"/>
    </bk>
    <bk>
      <rc t="2" v="361"/>
    </bk>
    <bk>
      <rc t="2" v="362"/>
    </bk>
    <bk>
      <rc t="2" v="363"/>
    </bk>
    <bk>
      <rc t="2" v="364"/>
    </bk>
    <bk>
      <rc t="2" v="365"/>
    </bk>
    <bk>
      <rc t="2" v="366"/>
    </bk>
    <bk>
      <rc t="2" v="367"/>
    </bk>
    <bk>
      <rc t="2" v="368"/>
    </bk>
    <bk>
      <rc t="2" v="369"/>
    </bk>
    <bk>
      <rc t="2" v="370"/>
    </bk>
    <bk>
      <rc t="2" v="371"/>
    </bk>
    <bk>
      <rc t="2" v="372"/>
    </bk>
    <bk>
      <rc t="2" v="373"/>
    </bk>
    <bk>
      <rc t="2" v="374"/>
    </bk>
    <bk>
      <rc t="2" v="375"/>
    </bk>
    <bk>
      <rc t="2" v="376"/>
    </bk>
  </valueMetadata>
</metadata>
</file>

<file path=xl/sharedStrings.xml><?xml version="1.0" encoding="utf-8"?>
<sst xmlns="http://schemas.openxmlformats.org/spreadsheetml/2006/main" count="43" uniqueCount="34">
  <si>
    <t>Equity Value</t>
  </si>
  <si>
    <t>Preferred Equity Value</t>
  </si>
  <si>
    <t>Short-Term Debt Value</t>
  </si>
  <si>
    <t>Long-Term Debt Value</t>
  </si>
  <si>
    <t>Total Capital</t>
  </si>
  <si>
    <t>% Equity</t>
  </si>
  <si>
    <t>%Preferred Equity</t>
  </si>
  <si>
    <t>% Short-Term Debt</t>
  </si>
  <si>
    <t>% Long-Term Debt</t>
  </si>
  <si>
    <t>Beta</t>
  </si>
  <si>
    <t>Risk Free Rate</t>
  </si>
  <si>
    <t>Pre-Tax Cost of Debt</t>
  </si>
  <si>
    <t>WACC</t>
  </si>
  <si>
    <t>SYK</t>
  </si>
  <si>
    <t>JNJ</t>
  </si>
  <si>
    <t>BSX</t>
  </si>
  <si>
    <t>ABT</t>
  </si>
  <si>
    <t>EW</t>
  </si>
  <si>
    <t>(in millions)</t>
  </si>
  <si>
    <t>Expected Return of Market</t>
  </si>
  <si>
    <t>Assumed Equity Risk Premium</t>
  </si>
  <si>
    <t>S&amp;P 500</t>
  </si>
  <si>
    <t>SYK Returns</t>
  </si>
  <si>
    <t>JNJ Returns</t>
  </si>
  <si>
    <t>ABT Returns</t>
  </si>
  <si>
    <t>BSX Returns</t>
  </si>
  <si>
    <t>EW Returns</t>
  </si>
  <si>
    <t>S&amp;P Returns</t>
  </si>
  <si>
    <t>Beta Vals:</t>
  </si>
  <si>
    <t>2026 Tax Rate (%)</t>
  </si>
  <si>
    <t>Dates (60 Months)</t>
  </si>
  <si>
    <t>I have to paste S&amp;P values since some stupid European stock keeps populating.</t>
  </si>
  <si>
    <t>Data compiled as of March 23rd, 2026</t>
  </si>
  <si>
    <t>The Beta, Expected Market Return (and ERP), and Risk Free Rate are all manually calc'd, or pulled on the spot.I just came up with 5.5% as a conservative estimate, but it can be changed to whatever you want.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</si>
</sst>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2" x14ac:knownFonts="1">
    <font>
      <sz val="11"/>
      <color theme="1"/>
      <name val="Calibri"/>
      <family val="2"/>
      <scheme val="minor"/>
    </font>
    <font>
      <b/>
      <sz val="16"/>
      <color indexed="9"/>
      <name val="Arial"/>
      <family val="2"/>
    </font>
    <font>
      <b/>
      <sz val="10"/>
      <color indexed="9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rgb="FF000000"/>
      <name val="Segoe UI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13" fillId="6" borderId="5" applyNumberFormat="0" applyAlignment="0" applyProtection="0"/>
    <xf numFmtId="0" fontId="15" fillId="7" borderId="8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5" applyNumberFormat="0" applyAlignment="0" applyProtection="0"/>
    <xf numFmtId="0" fontId="14" fillId="0" borderId="7" applyNumberFormat="0" applyFill="0" applyAlignment="0" applyProtection="0"/>
    <xf numFmtId="0" fontId="10" fillId="4" borderId="0" applyNumberFormat="0" applyBorder="0" applyAlignment="0" applyProtection="0"/>
    <xf numFmtId="0" fontId="3" fillId="8" borderId="9" applyNumberFormat="0" applyFont="0" applyAlignment="0" applyProtection="0"/>
    <xf numFmtId="0" fontId="12" fillId="6" borderId="6" applyNumberFormat="0" applyAlignment="0" applyProtection="0"/>
    <xf numFmtId="0" fontId="4" fillId="0" borderId="0" applyNumberFormat="0" applyFill="0" applyBorder="0" applyAlignment="0" applyProtection="0"/>
    <xf numFmtId="0" fontId="18" fillId="0" borderId="10" applyNumberFormat="0" applyFill="0" applyAlignment="0" applyProtection="0"/>
    <xf numFmtId="0" fontId="16" fillId="0" borderId="0" applyNumberFormat="0" applyFill="0" applyBorder="0" applyAlignment="0" applyProtection="0"/>
    <xf numFmtId="0" fontId="1" fillId="33" borderId="11" applyNumberFormat="0" applyProtection="0">
      <alignment horizontal="left" vertical="center" readingOrder="1"/>
    </xf>
    <xf numFmtId="0" fontId="2" fillId="33" borderId="1">
      <alignment horizontal="left"/>
    </xf>
  </cellStyleXfs>
  <cellXfs count="9">
    <xf numFmtId="0" fontId="0" fillId="0" borderId="0" xfId="0"/>
    <xf numFmtId="44" fontId="0" fillId="0" borderId="0" xfId="0" applyNumberFormat="1"/>
    <xf numFmtId="10" fontId="0" fillId="0" borderId="0" xfId="0" applyNumberFormat="1"/>
    <xf numFmtId="14" fontId="0" fillId="0" borderId="0" xfId="0" applyNumberFormat="1"/>
    <xf numFmtId="2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0" fontId="20" fillId="34" borderId="0" xfId="0" applyFont="1" applyFill="1" applyAlignment="1">
      <alignment horizontal="center"/>
    </xf>
    <xf numFmtId="0" fontId="0" fillId="35" borderId="0" xfId="0" applyFill="1" applyAlignment="1">
      <alignment horizontal="center" vertical="top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title_header_row_left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fa_column_header_bottom_left" xfId="43" xr:uid="{00000000-0005-0000-0000-00001D000000}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microsoft.com/office/2017/06/relationships/rdRichValueTypes" Target="richData/rdRichValueTypes.xml"/><Relationship Id="rId3" Type="http://schemas.openxmlformats.org/officeDocument/2006/relationships/theme" Target="theme/theme1.xml"/><Relationship Id="rId7" Type="http://schemas.microsoft.com/office/2017/06/relationships/rdRichValue" Target="richData/rdrichvalue.xml"/><Relationship Id="rId12" Type="http://schemas.microsoft.com/office/2017/06/relationships/rdSupportingPropertyBag" Target="richData/rdsupportingpropertybag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microsoft.com/office/2017/06/relationships/rdSupportingPropertyBagStructure" Target="richData/rdsupportingpropertybagstructure.xml"/><Relationship Id="rId5" Type="http://schemas.openxmlformats.org/officeDocument/2006/relationships/sharedStrings" Target="sharedStrings.xml"/><Relationship Id="rId15" Type="http://schemas.openxmlformats.org/officeDocument/2006/relationships/calcChain" Target="calcChain.xml"/><Relationship Id="rId10" Type="http://schemas.microsoft.com/office/2017/06/relationships/richStyles" Target="richData/richStyles.xml"/><Relationship Id="rId4" Type="http://schemas.openxmlformats.org/officeDocument/2006/relationships/styles" Target="styles.xml"/><Relationship Id="rId9" Type="http://schemas.microsoft.com/office/2017/06/relationships/rdArray" Target="richData/rdarray.xml"/><Relationship Id="rId14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C27-44A8-979A-023355B3A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C27-44A8-979A-023355B3A9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C27-44A8-979A-023355B3A9D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C27-44A8-979A-023355B3A9D2}"/>
              </c:ext>
            </c:extLst>
          </c:dPt>
          <c:cat>
            <c:strRef>
              <c:f>'WACC Dashboard'!$H$6:$H$9</c:f>
              <c:strCache>
                <c:ptCount val="4"/>
                <c:pt idx="0">
                  <c:v>% Equity</c:v>
                </c:pt>
                <c:pt idx="1">
                  <c:v>%Preferred Equity</c:v>
                </c:pt>
                <c:pt idx="2">
                  <c:v>% Short-Term Debt</c:v>
                </c:pt>
                <c:pt idx="3">
                  <c:v>% Long-Term Debt</c:v>
                </c:pt>
              </c:strCache>
            </c:strRef>
          </c:cat>
          <c:val>
            <c:numRef>
              <c:f>'WACC Dashboard'!$I$6:$I$9</c:f>
              <c:numCache>
                <c:formatCode>0.00%</c:formatCode>
                <c:ptCount val="4"/>
                <c:pt idx="0">
                  <c:v>0.98599999999999999</c:v>
                </c:pt>
                <c:pt idx="1">
                  <c:v>0</c:v>
                </c:pt>
                <c:pt idx="2">
                  <c:v>1E-4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7-45FA-912D-29E3763C9F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Radio" firstButton="1" fmlaLink="$J$9" lockText="1" noThreeD="1"/>
</file>

<file path=xl/ctrlProps/ctrlProp2.xml><?xml version="1.0" encoding="utf-8"?>
<formControlPr xmlns="http://schemas.microsoft.com/office/spreadsheetml/2009/9/main" objectType="Radio" lockText="1" noThreeD="1"/>
</file>

<file path=xl/ctrlProps/ctrlProp3.xml><?xml version="1.0" encoding="utf-8"?>
<formControlPr xmlns="http://schemas.microsoft.com/office/spreadsheetml/2009/9/main" objectType="Radio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</xdr:colOff>
      <xdr:row>1</xdr:row>
      <xdr:rowOff>138112</xdr:rowOff>
    </xdr:from>
    <xdr:to>
      <xdr:col>12</xdr:col>
      <xdr:colOff>147637</xdr:colOff>
      <xdr:row>16</xdr:row>
      <xdr:rowOff>23812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1CECE597-3BC6-D19D-479D-C327787541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47625</xdr:colOff>
      <xdr:row>2</xdr:row>
      <xdr:rowOff>57151</xdr:rowOff>
    </xdr:from>
    <xdr:to>
      <xdr:col>7</xdr:col>
      <xdr:colOff>276225</xdr:colOff>
      <xdr:row>7</xdr:row>
      <xdr:rowOff>123825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72DC2A6-CD9A-C5A0-AA24-DE0823F3E749}"/>
            </a:ext>
          </a:extLst>
        </xdr:cNvPr>
        <xdr:cNvSpPr/>
      </xdr:nvSpPr>
      <xdr:spPr>
        <a:xfrm>
          <a:off x="6048375" y="438151"/>
          <a:ext cx="942975" cy="1019174"/>
        </a:xfrm>
        <a:prstGeom prst="rect">
          <a:avLst/>
        </a:prstGeom>
        <a:solidFill>
          <a:schemeClr val="accent2">
            <a:lumMod val="20000"/>
            <a:lumOff val="80000"/>
          </a:schemeClr>
        </a:soli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2</xdr:row>
          <xdr:rowOff>133350</xdr:rowOff>
        </xdr:from>
        <xdr:to>
          <xdr:col>7</xdr:col>
          <xdr:colOff>381000</xdr:colOff>
          <xdr:row>3</xdr:row>
          <xdr:rowOff>152400</xdr:rowOff>
        </xdr:to>
        <xdr:sp macro="" textlink="">
          <xdr:nvSpPr>
            <xdr:cNvPr id="1027" name="Option 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SYK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3</xdr:row>
          <xdr:rowOff>104775</xdr:rowOff>
        </xdr:from>
        <xdr:to>
          <xdr:col>7</xdr:col>
          <xdr:colOff>381000</xdr:colOff>
          <xdr:row>4</xdr:row>
          <xdr:rowOff>123825</xdr:rowOff>
        </xdr:to>
        <xdr:sp macro="" textlink="">
          <xdr:nvSpPr>
            <xdr:cNvPr id="1028" name="Option Button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JNJ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4</xdr:row>
          <xdr:rowOff>66675</xdr:rowOff>
        </xdr:from>
        <xdr:to>
          <xdr:col>7</xdr:col>
          <xdr:colOff>381000</xdr:colOff>
          <xdr:row>5</xdr:row>
          <xdr:rowOff>85725</xdr:rowOff>
        </xdr:to>
        <xdr:sp macro="" textlink="">
          <xdr:nvSpPr>
            <xdr:cNvPr id="1029" name="Option Button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ABT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5</xdr:row>
          <xdr:rowOff>38100</xdr:rowOff>
        </xdr:from>
        <xdr:to>
          <xdr:col>7</xdr:col>
          <xdr:colOff>381000</xdr:colOff>
          <xdr:row>6</xdr:row>
          <xdr:rowOff>57150</xdr:rowOff>
        </xdr:to>
        <xdr:sp macro="" textlink="">
          <xdr:nvSpPr>
            <xdr:cNvPr id="1030" name="Option Butto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BSX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66675</xdr:colOff>
          <xdr:row>5</xdr:row>
          <xdr:rowOff>190500</xdr:rowOff>
        </xdr:from>
        <xdr:to>
          <xdr:col>7</xdr:col>
          <xdr:colOff>381000</xdr:colOff>
          <xdr:row>7</xdr:row>
          <xdr:rowOff>19050</xdr:rowOff>
        </xdr:to>
        <xdr:sp macro="" textlink="">
          <xdr:nvSpPr>
            <xdr:cNvPr id="1031" name="Option Button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EW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array.xml><?xml version="1.0" encoding="utf-8"?>
<arrayData xmlns="http://schemas.microsoft.com/office/spreadsheetml/2017/richdata2" count="8">
  <a r="1">
    <v t="i">0</v>
  </a>
  <a r="1">
    <v>43.91</v>
  </a>
  <a r="1" c="63">
    <v t="i">0</v>
    <v t="i">31</v>
    <v t="i">59</v>
    <v t="i">90</v>
    <v t="i">120</v>
    <v t="i">151</v>
    <v t="i">181</v>
    <v t="i">212</v>
    <v t="i">243</v>
    <v t="i">273</v>
    <v t="i">304</v>
    <v t="i">334</v>
    <v t="i">365</v>
    <v t="i">396</v>
    <v t="i">424</v>
    <v t="i">455</v>
    <v t="i">485</v>
    <v t="i">516</v>
    <v t="i">546</v>
    <v t="i">577</v>
    <v t="i">608</v>
    <v t="i">638</v>
    <v t="i">669</v>
    <v t="i">699</v>
    <v t="i">730</v>
    <v t="i">761</v>
    <v t="i">789</v>
    <v t="i">820</v>
    <v t="i">850</v>
    <v t="i">881</v>
    <v t="i">911</v>
    <v t="i">942</v>
    <v t="i">973</v>
    <v t="i">1003</v>
    <v t="i">1034</v>
    <v t="i">1064</v>
    <v t="i">1095</v>
    <v t="i">1126</v>
    <v t="i">1155</v>
    <v t="i">1186</v>
    <v t="i">1216</v>
    <v t="i">1247</v>
    <v t="i">1277</v>
    <v t="i">1308</v>
    <v t="i">1339</v>
    <v t="i">1369</v>
    <v t="i">1400</v>
    <v t="i">1430</v>
    <v t="i">1461</v>
    <v t="i">1492</v>
    <v t="i">1520</v>
    <v t="i">1551</v>
    <v t="i">1581</v>
    <v t="i">1612</v>
    <v t="i">1642</v>
    <v t="i">1673</v>
    <v t="i">1704</v>
    <v t="i">1734</v>
    <v t="i">1765</v>
    <v t="i">1795</v>
    <v t="i">1826</v>
    <v t="i">1857</v>
    <v t="i">1885</v>
  </a>
  <a r="1" c="63">
    <v>123.59</v>
    <v>119.78</v>
    <v>119.84</v>
    <v>120.08</v>
    <v>116.65</v>
    <v>115.93</v>
    <v>120.98</v>
    <v>126.37</v>
    <v>118.13</v>
    <v>128.88999999999999</v>
    <v>125.77</v>
    <v>140.74</v>
    <v>127.46</v>
    <v>120.62</v>
    <v>118.36</v>
    <v>113.5</v>
    <v>117.46</v>
    <v>108.65</v>
    <v>108.84</v>
    <v>102.65</v>
    <v>96.76</v>
    <v>98.94</v>
    <v>107.58</v>
    <v>109.79</v>
    <v>110.55</v>
    <v>101.72</v>
    <v>101.26</v>
    <v>110.47</v>
    <v>102</v>
    <v>109.02</v>
    <v>111.33</v>
    <v>102.9</v>
    <v>96.85</v>
    <v>94.55</v>
    <v>104.29</v>
    <v>110.07</v>
    <v>113.15</v>
    <v>118.64</v>
    <v>113.66</v>
    <v>105.97</v>
    <v>102.19</v>
    <v>103.91</v>
    <v>105.94</v>
    <v>113.27</v>
    <v>114.01</v>
    <v>113.37</v>
    <v>118.77</v>
    <v>113.11</v>
    <v>127.93</v>
    <v>138.01</v>
    <v>132.65</v>
    <v>130.75</v>
    <v>133.58000000000001</v>
    <v>136.01</v>
    <v>126.19</v>
    <v>132.66</v>
    <v>133.94</v>
    <v>123.62</v>
    <v>128.9</v>
    <v>125.29</v>
    <v>109.3</v>
    <v>116.35</v>
    <v>104.85</v>
  </a>
  <a r="1" c="63">
    <v>221.01</v>
    <v>242.69</v>
    <v>243.58</v>
    <v>262.63</v>
    <v>255.27</v>
    <v>259.73</v>
    <v>270.94</v>
    <v>277.10000000000002</v>
    <v>263.72000000000003</v>
    <v>266.07</v>
    <v>236.63</v>
    <v>267.42</v>
    <v>248.05</v>
    <v>263.35000000000002</v>
    <v>267.35000000000002</v>
    <v>241.26</v>
    <v>234.5</v>
    <v>198.93</v>
    <v>214.75</v>
    <v>205.2</v>
    <v>202.54</v>
    <v>229.24</v>
    <v>233.89</v>
    <v>244.49</v>
    <v>253.81</v>
    <v>262.88</v>
    <v>285.47000000000003</v>
    <v>299.64999999999998</v>
    <v>275.58</v>
    <v>305.08999999999997</v>
    <v>283.41000000000003</v>
    <v>283.55</v>
    <v>273.27</v>
    <v>270.22000000000003</v>
    <v>296.33</v>
    <v>299.45999999999998</v>
    <v>335.48</v>
    <v>349.07</v>
    <v>357.87</v>
    <v>336.5</v>
    <v>341.09</v>
    <v>340.25</v>
    <v>327.45</v>
    <v>360.42</v>
    <v>361.26</v>
    <v>356.28</v>
    <v>392.15</v>
    <v>360.05</v>
    <v>391.29</v>
    <v>386.19</v>
    <v>372.25</v>
    <v>373.92</v>
    <v>382.64</v>
    <v>395.63</v>
    <v>392.73</v>
    <v>391.41</v>
    <v>369.67</v>
    <v>356.24</v>
    <v>371.18</v>
    <v>351.47</v>
    <v>369.56</v>
    <v>387.46</v>
    <v>332.59</v>
  </a>
  <a r="1" c="63">
    <v>163.13</v>
    <v>158.46</v>
    <v>164.35</v>
    <v>162.72999999999999</v>
    <v>169.25</v>
    <v>164.74</v>
    <v>172.2</v>
    <v>173.13</v>
    <v>161.5</v>
    <v>162.88</v>
    <v>155.93</v>
    <v>171.07</v>
    <v>172.29</v>
    <v>164.57</v>
    <v>177.23</v>
    <v>180.46</v>
    <v>179.53</v>
    <v>177.51</v>
    <v>174.52</v>
    <v>161.34</v>
    <v>163.36000000000001</v>
    <v>173.97</v>
    <v>178</v>
    <v>176.65</v>
    <v>163.41999999999999</v>
    <v>153.26</v>
    <v>155</v>
    <v>163.69999999999999</v>
    <v>155.06</v>
    <v>165.52</v>
    <v>167.53</v>
    <v>161.68</v>
    <v>155.75</v>
    <v>148.34</v>
    <v>154.66</v>
    <v>156.74</v>
    <v>158.9</v>
    <v>161.38</v>
    <v>158.19</v>
    <v>144.59</v>
    <v>146.66999999999999</v>
    <v>146.16</v>
    <v>157.85</v>
    <v>165.86</v>
    <v>162.06</v>
    <v>159.86000000000001</v>
    <v>155.01</v>
    <v>144.62</v>
    <v>152.15</v>
    <v>165.02</v>
    <v>165.84</v>
    <v>156.31</v>
    <v>155.21</v>
    <v>152.75</v>
    <v>164.74</v>
    <v>177.17</v>
    <v>185.42</v>
    <v>188.87</v>
    <v>206.92</v>
    <v>206.95</v>
    <v>227.25</v>
    <v>248.43</v>
    <v>235.42</v>
  </a>
  <a r="1" c="63">
    <v>82.58</v>
    <v>83.1</v>
    <v>83.64</v>
    <v>95.52</v>
    <v>95.9</v>
    <v>103.57</v>
    <v>112.27</v>
    <v>117.18</v>
    <v>113.21</v>
    <v>119.82</v>
    <v>107.31</v>
    <v>129.55000000000001</v>
    <v>109.2</v>
    <v>112.37</v>
    <v>117.72</v>
    <v>105.78</v>
    <v>100.85</v>
    <v>95.09</v>
    <v>100.54</v>
    <v>90.1</v>
    <v>82.63</v>
    <v>72.430000000000007</v>
    <v>77.25</v>
    <v>74.61</v>
    <v>76.7</v>
    <v>80.44</v>
    <v>82.73</v>
    <v>87.98</v>
    <v>84.23</v>
    <v>94.33</v>
    <v>82.07</v>
    <v>76.47</v>
    <v>69.28</v>
    <v>63.72</v>
    <v>67.709999999999994</v>
    <v>76.25</v>
    <v>78.47</v>
    <v>84.87</v>
    <v>95.56</v>
    <v>84.67</v>
    <v>86.89</v>
    <v>92.37</v>
    <v>63.05</v>
    <v>69.959999999999994</v>
    <v>65.989999999999995</v>
    <v>67.010000000000005</v>
    <v>71.349999999999994</v>
    <v>74.03</v>
    <v>72.45</v>
    <v>71.62</v>
    <v>72.48</v>
    <v>75.489999999999995</v>
    <v>78.22</v>
    <v>78.209999999999994</v>
    <v>79.31</v>
    <v>81.34</v>
    <v>77.77</v>
    <v>82.45</v>
    <v>86.67</v>
    <v>85.25</v>
    <v>81.36</v>
    <v>86.47</v>
    <v>82.02</v>
  </a>
  <a r="1" c="63">
    <v>35.44</v>
    <v>38.78</v>
    <v>38.65</v>
    <v>43.6</v>
    <v>42.55</v>
    <v>42.76</v>
    <v>45.6</v>
    <v>45.15</v>
    <v>43.39</v>
    <v>43.13</v>
    <v>38.07</v>
    <v>42.48</v>
    <v>42.9</v>
    <v>44.17</v>
    <v>44.29</v>
    <v>42.11</v>
    <v>41.01</v>
    <v>37.270000000000003</v>
    <v>41.05</v>
    <v>40.31</v>
    <v>38.729999999999997</v>
    <v>43.11</v>
    <v>45.27</v>
    <v>46.27</v>
    <v>46.25</v>
    <v>46.72</v>
    <v>50.03</v>
    <v>52.12</v>
    <v>51.48</v>
    <v>54.09</v>
    <v>51.85</v>
    <v>53.94</v>
    <v>52.8</v>
    <v>51.19</v>
    <v>55.89</v>
    <v>57.81</v>
    <v>63.26</v>
    <v>66.209999999999994</v>
    <v>68.489999999999995</v>
    <v>71.87</v>
    <v>75.569999999999993</v>
    <v>77.010000000000005</v>
    <v>73.88</v>
    <v>81.790000000000006</v>
    <v>83.8</v>
    <v>84.02</v>
    <v>90.66</v>
    <v>89.32</v>
    <v>102.36</v>
    <v>103.79</v>
    <v>100.88</v>
    <v>102.87</v>
    <v>105.26</v>
    <v>107.41</v>
    <v>104.92</v>
    <v>105.5</v>
    <v>97.63</v>
    <v>100.72</v>
    <v>101.58</v>
    <v>95.35</v>
    <v>93.53</v>
    <v>76.849999999999994</v>
    <v>69.540000000000006</v>
  </a>
</arrayData>
</file>

<file path=xl/richData/rdrichvalue.xml><?xml version="1.0" encoding="utf-8"?>
<rvData xmlns="http://schemas.microsoft.com/office/spreadsheetml/2017/richdata" count="383">
  <rv s="0">
    <fb>221.01</fb>
    <v>0</v>
  </rv>
  <rv s="0">
    <fb>163.13</fb>
    <v>0</v>
  </rv>
  <rv s="0">
    <fb>123.59</fb>
    <v>0</v>
  </rv>
  <rv s="0">
    <fb>35.44</fb>
    <v>0</v>
  </rv>
  <rv s="0">
    <fb>82.58</fb>
    <v>0</v>
  </rv>
  <rv s="0">
    <fb>3714.24</fb>
    <v>0</v>
  </rv>
  <rv s="0">
    <fb>242.69</fb>
    <v>0</v>
  </rv>
  <rv s="0">
    <fb>158.46</fb>
    <v>0</v>
  </rv>
  <rv s="0">
    <fb>119.78</fb>
    <v>0</v>
  </rv>
  <rv s="0">
    <fb>38.78</fb>
    <v>0</v>
  </rv>
  <rv s="0">
    <fb>83.1</fb>
    <v>0</v>
  </rv>
  <rv s="0">
    <fb>3811.15</fb>
    <v>0</v>
  </rv>
  <rv s="0">
    <fb>243.58</fb>
    <v>0</v>
  </rv>
  <rv s="0">
    <fb>164.35</fb>
    <v>0</v>
  </rv>
  <rv s="0">
    <fb>119.84</fb>
    <v>0</v>
  </rv>
  <rv s="0">
    <fb>38.65</fb>
    <v>0</v>
  </rv>
  <rv s="0">
    <fb>83.64</fb>
    <v>0</v>
  </rv>
  <rv s="0">
    <fb>3972.89</fb>
    <v>0</v>
  </rv>
  <rv s="0">
    <fb>262.63</fb>
    <v>0</v>
  </rv>
  <rv s="0">
    <fb>162.72999999999999</fb>
    <v>0</v>
  </rv>
  <rv s="0">
    <fb>120.08</fb>
    <v>0</v>
  </rv>
  <rv s="0">
    <fb>43.6</fb>
    <v>0</v>
  </rv>
  <rv s="0">
    <fb>95.52</fb>
    <v>0</v>
  </rv>
  <rv s="0">
    <fb>4181.17</fb>
    <v>0</v>
  </rv>
  <rv s="0">
    <fb>255.27</fb>
    <v>0</v>
  </rv>
  <rv s="0">
    <fb>169.25</fb>
    <v>0</v>
  </rv>
  <rv s="0">
    <fb>116.65</fb>
    <v>0</v>
  </rv>
  <rv s="0">
    <fb>42.55</fb>
    <v>0</v>
  </rv>
  <rv s="0">
    <fb>95.9</fb>
    <v>0</v>
  </rv>
  <rv s="0">
    <fb>4204.1099999999997</fb>
    <v>0</v>
  </rv>
  <rv s="0">
    <fb>259.73</fb>
    <v>0</v>
  </rv>
  <rv s="0">
    <fb>164.74</fb>
    <v>0</v>
  </rv>
  <rv s="0">
    <fb>115.93</fb>
    <v>0</v>
  </rv>
  <rv s="0">
    <fb>42.76</fb>
    <v>0</v>
  </rv>
  <rv s="0">
    <fb>103.57</fb>
    <v>0</v>
  </rv>
  <rv s="0">
    <fb>4297.5</fb>
    <v>0</v>
  </rv>
  <rv s="0">
    <fb>270.94</fb>
    <v>0</v>
  </rv>
  <rv s="0">
    <fb>172.2</fb>
    <v>0</v>
  </rv>
  <rv s="0">
    <fb>120.98</fb>
    <v>0</v>
  </rv>
  <rv s="0">
    <fb>45.6</fb>
    <v>0</v>
  </rv>
  <rv s="0">
    <fb>112.27</fb>
    <v>0</v>
  </rv>
  <rv s="0">
    <fb>4395.26</fb>
    <v>0</v>
  </rv>
  <rv s="0">
    <fb>277.10000000000002</fb>
    <v>0</v>
  </rv>
  <rv s="0">
    <fb>173.13</fb>
    <v>0</v>
  </rv>
  <rv s="0">
    <fb>126.37</fb>
    <v>0</v>
  </rv>
  <rv s="0">
    <fb>45.15</fb>
    <v>0</v>
  </rv>
  <rv s="0">
    <fb>117.18</fb>
    <v>0</v>
  </rv>
  <rv s="0">
    <fb>4522.68</fb>
    <v>0</v>
  </rv>
  <rv s="0">
    <fb>263.72000000000003</fb>
    <v>0</v>
  </rv>
  <rv s="0">
    <fb>161.5</fb>
    <v>0</v>
  </rv>
  <rv s="0">
    <fb>118.13</fb>
    <v>0</v>
  </rv>
  <rv s="0">
    <fb>43.39</fb>
    <v>0</v>
  </rv>
  <rv s="0">
    <fb>113.21</fb>
    <v>0</v>
  </rv>
  <rv s="0">
    <fb>4307.54</fb>
    <v>0</v>
  </rv>
  <rv s="0">
    <fb>266.07</fb>
    <v>0</v>
  </rv>
  <rv s="0">
    <fb>162.88</fb>
    <v>0</v>
  </rv>
  <rv s="0">
    <fb>128.88999999999999</fb>
    <v>0</v>
  </rv>
  <rv s="0">
    <fb>43.13</fb>
    <v>0</v>
  </rv>
  <rv s="0">
    <fb>119.82</fb>
    <v>0</v>
  </rv>
  <rv s="0">
    <fb>4605.38</fb>
    <v>0</v>
  </rv>
  <rv s="0">
    <fb>236.63</fb>
    <v>0</v>
  </rv>
  <rv s="0">
    <fb>155.93</fb>
    <v>0</v>
  </rv>
  <rv s="0">
    <fb>125.77</fb>
    <v>0</v>
  </rv>
  <rv s="0">
    <fb>38.07</fb>
    <v>0</v>
  </rv>
  <rv s="0">
    <fb>107.31</fb>
    <v>0</v>
  </rv>
  <rv s="0">
    <fb>4567</fb>
    <v>0</v>
  </rv>
  <rv s="0">
    <fb>267.42</fb>
    <v>0</v>
  </rv>
  <rv s="0">
    <fb>171.07</fb>
    <v>0</v>
  </rv>
  <rv s="0">
    <fb>140.74</fb>
    <v>0</v>
  </rv>
  <rv s="0">
    <fb>42.48</fb>
    <v>0</v>
  </rv>
  <rv s="0">
    <fb>129.55000000000001</fb>
    <v>0</v>
  </rv>
  <rv s="0">
    <fb>4766.18</fb>
    <v>0</v>
  </rv>
  <rv s="0">
    <fb>248.05</fb>
    <v>0</v>
  </rv>
  <rv s="0">
    <fb>172.29</fb>
    <v>0</v>
  </rv>
  <rv s="0">
    <fb>127.46</fb>
    <v>0</v>
  </rv>
  <rv s="0">
    <fb>42.9</fb>
    <v>0</v>
  </rv>
  <rv s="0">
    <fb>109.2</fb>
    <v>0</v>
  </rv>
  <rv s="0">
    <fb>4515.55</fb>
    <v>0</v>
  </rv>
  <rv s="0">
    <fb>263.35000000000002</fb>
    <v>0</v>
  </rv>
  <rv s="0">
    <fb>164.57</fb>
    <v>0</v>
  </rv>
  <rv s="0">
    <fb>120.62</fb>
    <v>0</v>
  </rv>
  <rv s="0">
    <fb>44.17</fb>
    <v>0</v>
  </rv>
  <rv s="0">
    <fb>112.37</fb>
    <v>0</v>
  </rv>
  <rv s="0">
    <fb>4373.9399999999996</fb>
    <v>0</v>
  </rv>
  <rv s="0">
    <fb>267.35000000000002</fb>
    <v>0</v>
  </rv>
  <rv s="0">
    <fb>177.23</fb>
    <v>0</v>
  </rv>
  <rv s="0">
    <fb>118.36</fb>
    <v>0</v>
  </rv>
  <rv s="0">
    <fb>44.29</fb>
    <v>0</v>
  </rv>
  <rv s="0">
    <fb>117.72</fb>
    <v>0</v>
  </rv>
  <rv s="0">
    <fb>4530.41</fb>
    <v>0</v>
  </rv>
  <rv s="0">
    <fb>241.26</fb>
    <v>0</v>
  </rv>
  <rv s="0">
    <fb>180.46</fb>
    <v>0</v>
  </rv>
  <rv s="0">
    <fb>113.5</fb>
    <v>0</v>
  </rv>
  <rv s="0">
    <fb>42.11</fb>
    <v>0</v>
  </rv>
  <rv s="0">
    <fb>105.78</fb>
    <v>0</v>
  </rv>
  <rv s="0">
    <fb>4131.93</fb>
    <v>0</v>
  </rv>
  <rv s="0">
    <fb>234.5</fb>
    <v>0</v>
  </rv>
  <rv s="0">
    <fb>179.53</fb>
    <v>0</v>
  </rv>
  <rv s="0">
    <fb>117.46</fb>
    <v>0</v>
  </rv>
  <rv s="0">
    <fb>41.01</fb>
    <v>0</v>
  </rv>
  <rv s="0">
    <fb>100.85</fb>
    <v>0</v>
  </rv>
  <rv s="0">
    <fb>4132.1499999999996</fb>
    <v>0</v>
  </rv>
  <rv s="0">
    <fb>198.93</fb>
    <v>0</v>
  </rv>
  <rv s="0">
    <fb>177.51</fb>
    <v>0</v>
  </rv>
  <rv s="0">
    <fb>108.65</fb>
    <v>0</v>
  </rv>
  <rv s="0">
    <fb>37.270000000000003</fb>
    <v>0</v>
  </rv>
  <rv s="0">
    <fb>95.09</fb>
    <v>0</v>
  </rv>
  <rv s="0">
    <fb>3785.38</fb>
    <v>0</v>
  </rv>
  <rv s="0">
    <fb>214.75</fb>
    <v>0</v>
  </rv>
  <rv s="0">
    <fb>174.52</fb>
    <v>0</v>
  </rv>
  <rv s="0">
    <fb>108.84</fb>
    <v>0</v>
  </rv>
  <rv s="0">
    <fb>41.05</fb>
    <v>0</v>
  </rv>
  <rv s="0">
    <fb>100.54</fb>
    <v>0</v>
  </rv>
  <rv s="0">
    <fb>4130.29</fb>
    <v>0</v>
  </rv>
  <rv s="0">
    <fb>205.2</fb>
    <v>0</v>
  </rv>
  <rv s="0">
    <fb>161.34</fb>
    <v>0</v>
  </rv>
  <rv s="0">
    <fb>102.65</fb>
    <v>0</v>
  </rv>
  <rv s="0">
    <fb>40.31</fb>
    <v>0</v>
  </rv>
  <rv s="0">
    <fb>90.1</fb>
    <v>0</v>
  </rv>
  <rv s="0">
    <fb>3955</fb>
    <v>0</v>
  </rv>
  <rv s="0">
    <fb>202.54</fb>
    <v>0</v>
  </rv>
  <rv s="0">
    <fb>163.36000000000001</fb>
    <v>0</v>
  </rv>
  <rv s="0">
    <fb>96.76</fb>
    <v>0</v>
  </rv>
  <rv s="0">
    <fb>38.729999999999997</fb>
    <v>0</v>
  </rv>
  <rv s="0">
    <fb>82.63</fb>
    <v>0</v>
  </rv>
  <rv s="0">
    <fb>3585.62</fb>
    <v>0</v>
  </rv>
  <rv s="0">
    <fb>229.24</fb>
    <v>0</v>
  </rv>
  <rv s="0">
    <fb>173.97</fb>
    <v>0</v>
  </rv>
  <rv s="0">
    <fb>98.94</fb>
    <v>0</v>
  </rv>
  <rv s="0">
    <fb>43.11</fb>
    <v>0</v>
  </rv>
  <rv s="0">
    <fb>72.430000000000007</fb>
    <v>0</v>
  </rv>
  <rv s="0">
    <fb>3871.98</fb>
    <v>0</v>
  </rv>
  <rv s="0">
    <fb>233.89</fb>
    <v>0</v>
  </rv>
  <rv s="0">
    <fb>178</fb>
    <v>0</v>
  </rv>
  <rv s="0">
    <fb>107.58</fb>
    <v>0</v>
  </rv>
  <rv s="0">
    <fb>45.27</fb>
    <v>0</v>
  </rv>
  <rv s="0">
    <fb>77.25</fb>
    <v>0</v>
  </rv>
  <rv s="0">
    <fb>4080.11</fb>
    <v>0</v>
  </rv>
  <rv s="0">
    <fb>244.49</fb>
    <v>0</v>
  </rv>
  <rv s="0">
    <fb>176.65</fb>
    <v>0</v>
  </rv>
  <rv s="0">
    <fb>109.79</fb>
    <v>0</v>
  </rv>
  <rv s="0">
    <fb>46.27</fb>
    <v>0</v>
  </rv>
  <rv s="0">
    <fb>74.61</fb>
    <v>0</v>
  </rv>
  <rv s="0">
    <fb>3839.5</fb>
    <v>0</v>
  </rv>
  <rv s="0">
    <fb>253.81</fb>
    <v>0</v>
  </rv>
  <rv s="0">
    <fb>163.41999999999999</fb>
    <v>0</v>
  </rv>
  <rv s="0">
    <fb>110.55</fb>
    <v>0</v>
  </rv>
  <rv s="0">
    <fb>46.25</fb>
    <v>0</v>
  </rv>
  <rv s="0">
    <fb>76.7</fb>
    <v>0</v>
  </rv>
  <rv s="0">
    <fb>4076.6</fb>
    <v>0</v>
  </rv>
  <rv s="0">
    <fb>262.88</fb>
    <v>0</v>
  </rv>
  <rv s="0">
    <fb>153.26</fb>
    <v>0</v>
  </rv>
  <rv s="0">
    <fb>101.72</fb>
    <v>0</v>
  </rv>
  <rv s="0">
    <fb>46.72</fb>
    <v>0</v>
  </rv>
  <rv s="0">
    <fb>80.44</fb>
    <v>0</v>
  </rv>
  <rv s="0">
    <fb>3970.15</fb>
    <v>0</v>
  </rv>
  <rv s="0">
    <fb>285.47000000000003</fb>
    <v>0</v>
  </rv>
  <rv s="0">
    <fb>155</fb>
    <v>0</v>
  </rv>
  <rv s="0">
    <fb>101.26</fb>
    <v>0</v>
  </rv>
  <rv s="0">
    <fb>50.03</fb>
    <v>0</v>
  </rv>
  <rv s="0">
    <fb>82.73</fb>
    <v>0</v>
  </rv>
  <rv s="0">
    <fb>4109.3100000000004</fb>
    <v>0</v>
  </rv>
  <rv s="0">
    <fb>299.64999999999998</fb>
    <v>0</v>
  </rv>
  <rv s="0">
    <fb>163.69999999999999</fb>
    <v>0</v>
  </rv>
  <rv s="0">
    <fb>110.47</fb>
    <v>0</v>
  </rv>
  <rv s="0">
    <fb>52.12</fb>
    <v>0</v>
  </rv>
  <rv s="0">
    <fb>87.98</fb>
    <v>0</v>
  </rv>
  <rv s="0">
    <fb>4169.4799999999996</fb>
    <v>0</v>
  </rv>
  <rv s="0">
    <fb>275.58</fb>
    <v>0</v>
  </rv>
  <rv s="0">
    <fb>155.06</fb>
    <v>0</v>
  </rv>
  <rv s="0">
    <fb>102</fb>
    <v>0</v>
  </rv>
  <rv s="0">
    <fb>51.48</fb>
    <v>0</v>
  </rv>
  <rv s="0">
    <fb>84.23</fb>
    <v>0</v>
  </rv>
  <rv s="0">
    <fb>4179.83</fb>
    <v>0</v>
  </rv>
  <rv s="0">
    <fb>305.08999999999997</fb>
    <v>0</v>
  </rv>
  <rv s="0">
    <fb>165.52</fb>
    <v>0</v>
  </rv>
  <rv s="0">
    <fb>109.02</fb>
    <v>0</v>
  </rv>
  <rv s="0">
    <fb>54.09</fb>
    <v>0</v>
  </rv>
  <rv s="0">
    <fb>94.33</fb>
    <v>0</v>
  </rv>
  <rv s="0">
    <fb>4450.38</fb>
    <v>0</v>
  </rv>
  <rv s="0">
    <fb>283.41000000000003</fb>
    <v>0</v>
  </rv>
  <rv s="0">
    <fb>167.53</fb>
    <v>0</v>
  </rv>
  <rv s="0">
    <fb>111.33</fb>
    <v>0</v>
  </rv>
  <rv s="0">
    <fb>51.85</fb>
    <v>0</v>
  </rv>
  <rv s="0">
    <fb>82.07</fb>
    <v>0</v>
  </rv>
  <rv s="0">
    <fb>4588.96</fb>
    <v>0</v>
  </rv>
  <rv s="0">
    <fb>283.55</fb>
    <v>0</v>
  </rv>
  <rv s="0">
    <fb>161.68</fb>
    <v>0</v>
  </rv>
  <rv s="0">
    <fb>102.9</fb>
    <v>0</v>
  </rv>
  <rv s="0">
    <fb>53.94</fb>
    <v>0</v>
  </rv>
  <rv s="0">
    <fb>76.47</fb>
    <v>0</v>
  </rv>
  <rv s="0">
    <fb>4507.66</fb>
    <v>0</v>
  </rv>
  <rv s="0">
    <fb>273.27</fb>
    <v>0</v>
  </rv>
  <rv s="0">
    <fb>155.75</fb>
    <v>0</v>
  </rv>
  <rv s="0">
    <fb>96.85</fb>
    <v>0</v>
  </rv>
  <rv s="0">
    <fb>52.8</fb>
    <v>0</v>
  </rv>
  <rv s="0">
    <fb>69.28</fb>
    <v>0</v>
  </rv>
  <rv s="0">
    <fb>4288.05</fb>
    <v>0</v>
  </rv>
  <rv s="0">
    <fb>270.22000000000003</fb>
    <v>0</v>
  </rv>
  <rv s="0">
    <fb>148.34</fb>
    <v>0</v>
  </rv>
  <rv s="0">
    <fb>94.55</fb>
    <v>0</v>
  </rv>
  <rv s="0">
    <fb>51.19</fb>
    <v>0</v>
  </rv>
  <rv s="0">
    <fb>63.72</fb>
    <v>0</v>
  </rv>
  <rv s="0">
    <fb>4193.8</fb>
    <v>0</v>
  </rv>
  <rv s="0">
    <fb>296.33</fb>
    <v>0</v>
  </rv>
  <rv s="0">
    <fb>154.66</fb>
    <v>0</v>
  </rv>
  <rv s="0">
    <fb>104.29</fb>
    <v>0</v>
  </rv>
  <rv s="0">
    <fb>55.89</fb>
    <v>0</v>
  </rv>
  <rv s="0">
    <fb>67.709999999999994</fb>
    <v>0</v>
  </rv>
  <rv s="0">
    <fb>4567.8</fb>
    <v>0</v>
  </rv>
  <rv s="0">
    <fb>299.45999999999998</fb>
    <v>0</v>
  </rv>
  <rv s="0">
    <fb>156.74</fb>
    <v>0</v>
  </rv>
  <rv s="0">
    <fb>110.07</fb>
    <v>0</v>
  </rv>
  <rv s="0">
    <fb>57.81</fb>
    <v>0</v>
  </rv>
  <rv s="0">
    <fb>76.25</fb>
    <v>0</v>
  </rv>
  <rv s="0">
    <fb>4769.83</fb>
    <v>0</v>
  </rv>
  <rv s="0">
    <fb>335.48</fb>
    <v>0</v>
  </rv>
  <rv s="0">
    <fb>158.9</fb>
    <v>0</v>
  </rv>
  <rv s="0">
    <fb>113.15</fb>
    <v>0</v>
  </rv>
  <rv s="0">
    <fb>63.26</fb>
    <v>0</v>
  </rv>
  <rv s="0">
    <fb>78.47</fb>
    <v>0</v>
  </rv>
  <rv s="0">
    <fb>4845.6499999999996</fb>
    <v>0</v>
  </rv>
  <rv s="0">
    <fb>349.07</fb>
    <v>0</v>
  </rv>
  <rv s="0">
    <fb>161.38</fb>
    <v>0</v>
  </rv>
  <rv s="0">
    <fb>118.64</fb>
    <v>0</v>
  </rv>
  <rv s="0">
    <fb>66.209999999999994</fb>
    <v>0</v>
  </rv>
  <rv s="0">
    <fb>84.87</fb>
    <v>0</v>
  </rv>
  <rv s="0">
    <fb>5096.2700000000004</fb>
    <v>0</v>
  </rv>
  <rv s="0">
    <fb>357.87</fb>
    <v>0</v>
  </rv>
  <rv s="0">
    <fb>158.19</fb>
    <v>0</v>
  </rv>
  <rv s="0">
    <fb>113.66</fb>
    <v>0</v>
  </rv>
  <rv s="0">
    <fb>68.489999999999995</fb>
    <v>0</v>
  </rv>
  <rv s="0">
    <fb>95.56</fb>
    <v>0</v>
  </rv>
  <rv s="0">
    <fb>5254.35</fb>
    <v>0</v>
  </rv>
  <rv s="0">
    <fb>336.5</fb>
    <v>0</v>
  </rv>
  <rv s="0">
    <fb>144.59</fb>
    <v>0</v>
  </rv>
  <rv s="0">
    <fb>105.97</fb>
    <v>0</v>
  </rv>
  <rv s="0">
    <fb>71.87</fb>
    <v>0</v>
  </rv>
  <rv s="0">
    <fb>84.67</fb>
    <v>0</v>
  </rv>
  <rv s="0">
    <fb>5035.6899999999996</fb>
    <v>0</v>
  </rv>
  <rv s="0">
    <fb>341.09</fb>
    <v>0</v>
  </rv>
  <rv s="0">
    <fb>146.66999999999999</fb>
    <v>0</v>
  </rv>
  <rv s="0">
    <fb>102.19</fb>
    <v>0</v>
  </rv>
  <rv s="0">
    <fb>75.569999999999993</fb>
    <v>0</v>
  </rv>
  <rv s="0">
    <fb>86.89</fb>
    <v>0</v>
  </rv>
  <rv s="0">
    <fb>5277.51</fb>
    <v>0</v>
  </rv>
  <rv s="0">
    <fb>340.25</fb>
    <v>0</v>
  </rv>
  <rv s="0">
    <fb>146.16</fb>
    <v>0</v>
  </rv>
  <rv s="0">
    <fb>103.91</fb>
    <v>0</v>
  </rv>
  <rv s="0">
    <fb>77.010000000000005</fb>
    <v>0</v>
  </rv>
  <rv s="0">
    <fb>92.37</fb>
    <v>0</v>
  </rv>
  <rv s="0">
    <fb>5460.48</fb>
    <v>0</v>
  </rv>
  <rv s="0">
    <fb>327.45</fb>
    <v>0</v>
  </rv>
  <rv s="0">
    <fb>157.85</fb>
    <v>0</v>
  </rv>
  <rv s="0">
    <fb>105.94</fb>
    <v>0</v>
  </rv>
  <rv s="0">
    <fb>73.88</fb>
    <v>0</v>
  </rv>
  <rv s="0">
    <fb>63.05</fb>
    <v>0</v>
  </rv>
  <rv s="0">
    <fb>5522.3</fb>
    <v>0</v>
  </rv>
  <rv s="0">
    <fb>360.42</fb>
    <v>0</v>
  </rv>
  <rv s="0">
    <fb>165.86</fb>
    <v>0</v>
  </rv>
  <rv s="0">
    <fb>113.27</fb>
    <v>0</v>
  </rv>
  <rv s="0">
    <fb>81.790000000000006</fb>
    <v>0</v>
  </rv>
  <rv s="0">
    <fb>69.959999999999994</fb>
    <v>0</v>
  </rv>
  <rv s="0">
    <fb>5648.4</fb>
    <v>0</v>
  </rv>
  <rv s="0">
    <fb>361.26</fb>
    <v>0</v>
  </rv>
  <rv s="0">
    <fb>162.06</fb>
    <v>0</v>
  </rv>
  <rv s="0">
    <fb>114.01</fb>
    <v>0</v>
  </rv>
  <rv s="0">
    <fb>83.8</fb>
    <v>0</v>
  </rv>
  <rv s="0">
    <fb>65.989999999999995</fb>
    <v>0</v>
  </rv>
  <rv s="0">
    <fb>5762.48</fb>
    <v>0</v>
  </rv>
  <rv s="0">
    <fb>356.28</fb>
    <v>0</v>
  </rv>
  <rv s="0">
    <fb>159.86000000000001</fb>
    <v>0</v>
  </rv>
  <rv s="0">
    <fb>113.37</fb>
    <v>0</v>
  </rv>
  <rv s="0">
    <fb>84.02</fb>
    <v>0</v>
  </rv>
  <rv s="0">
    <fb>67.010000000000005</fb>
    <v>0</v>
  </rv>
  <rv s="0">
    <fb>5705.45</fb>
    <v>0</v>
  </rv>
  <rv s="0">
    <fb>392.15</fb>
    <v>0</v>
  </rv>
  <rv s="0">
    <fb>155.01</fb>
    <v>0</v>
  </rv>
  <rv s="0">
    <fb>118.77</fb>
    <v>0</v>
  </rv>
  <rv s="0">
    <fb>90.66</fb>
    <v>0</v>
  </rv>
  <rv s="0">
    <fb>71.349999999999994</fb>
    <v>0</v>
  </rv>
  <rv s="0">
    <fb>6032.38</fb>
    <v>0</v>
  </rv>
  <rv s="0">
    <fb>360.05</fb>
    <v>0</v>
  </rv>
  <rv s="0">
    <fb>144.62</fb>
    <v>0</v>
  </rv>
  <rv s="0">
    <fb>113.11</fb>
    <v>0</v>
  </rv>
  <rv s="0">
    <fb>89.32</fb>
    <v>0</v>
  </rv>
  <rv s="0">
    <fb>74.03</fb>
    <v>0</v>
  </rv>
  <rv s="0">
    <fb>5881.63</fb>
    <v>0</v>
  </rv>
  <rv s="0">
    <fb>391.29</fb>
    <v>0</v>
  </rv>
  <rv s="0">
    <fb>152.15</fb>
    <v>0</v>
  </rv>
  <rv s="0">
    <fb>127.93</fb>
    <v>0</v>
  </rv>
  <rv s="0">
    <fb>102.36</fb>
    <v>0</v>
  </rv>
  <rv s="0">
    <fb>72.45</fb>
    <v>0</v>
  </rv>
  <rv s="0">
    <fb>6040.53</fb>
    <v>0</v>
  </rv>
  <rv s="0">
    <fb>386.19</fb>
    <v>0</v>
  </rv>
  <rv s="0">
    <fb>165.02</fb>
    <v>0</v>
  </rv>
  <rv s="0">
    <fb>138.01</fb>
    <v>0</v>
  </rv>
  <rv s="0">
    <fb>103.79</fb>
    <v>0</v>
  </rv>
  <rv s="0">
    <fb>71.62</fb>
    <v>0</v>
  </rv>
  <rv s="0">
    <fb>5954.5</fb>
    <v>0</v>
  </rv>
  <rv s="0">
    <fb>372.25</fb>
    <v>0</v>
  </rv>
  <rv s="0">
    <fb>165.84</fb>
    <v>0</v>
  </rv>
  <rv s="0">
    <fb>132.65</fb>
    <v>0</v>
  </rv>
  <rv s="0">
    <fb>100.88</fb>
    <v>0</v>
  </rv>
  <rv s="0">
    <fb>72.48</fb>
    <v>0</v>
  </rv>
  <rv s="0">
    <fb>5611.85</fb>
    <v>0</v>
  </rv>
  <rv s="0">
    <fb>373.92</fb>
    <v>0</v>
  </rv>
  <rv s="0">
    <fb>156.31</fb>
    <v>0</v>
  </rv>
  <rv s="0">
    <fb>130.75</fb>
    <v>0</v>
  </rv>
  <rv s="0">
    <fb>102.87</fb>
    <v>0</v>
  </rv>
  <rv s="0">
    <fb>75.489999999999995</fb>
    <v>0</v>
  </rv>
  <rv s="0">
    <fb>5569.06</fb>
    <v>0</v>
  </rv>
  <rv s="0">
    <fb>382.64</fb>
    <v>0</v>
  </rv>
  <rv s="0">
    <fb>155.21</fb>
    <v>0</v>
  </rv>
  <rv s="0">
    <fb>133.58000000000001</fb>
    <v>0</v>
  </rv>
  <rv s="0">
    <fb>105.26</fb>
    <v>0</v>
  </rv>
  <rv s="0">
    <fb>78.22</fb>
    <v>0</v>
  </rv>
  <rv s="0">
    <fb>5911.69</fb>
    <v>0</v>
  </rv>
  <rv s="0">
    <fb>395.63</fb>
    <v>0</v>
  </rv>
  <rv s="0">
    <fb>152.75</fb>
    <v>0</v>
  </rv>
  <rv s="0">
    <fb>136.01</fb>
    <v>0</v>
  </rv>
  <rv s="0">
    <fb>107.41</fb>
    <v>0</v>
  </rv>
  <rv s="0">
    <fb>78.209999999999994</fb>
    <v>0</v>
  </rv>
  <rv s="0">
    <fb>6204.95</fb>
    <v>0</v>
  </rv>
  <rv s="0">
    <fb>392.73</fb>
    <v>0</v>
  </rv>
  <rv s="0">
    <fb>126.19</fb>
    <v>0</v>
  </rv>
  <rv s="0">
    <fb>104.92</fb>
    <v>0</v>
  </rv>
  <rv s="0">
    <fb>79.31</fb>
    <v>0</v>
  </rv>
  <rv s="0">
    <fb>6339.39</fb>
    <v>0</v>
  </rv>
  <rv s="0">
    <fb>391.41</fb>
    <v>0</v>
  </rv>
  <rv s="0">
    <fb>177.17</fb>
    <v>0</v>
  </rv>
  <rv s="0">
    <fb>132.66</fb>
    <v>0</v>
  </rv>
  <rv s="0">
    <fb>105.5</fb>
    <v>0</v>
  </rv>
  <rv s="0">
    <fb>81.34</fb>
    <v>0</v>
  </rv>
  <rv s="0">
    <fb>6460.26</fb>
    <v>0</v>
  </rv>
  <rv s="0">
    <fb>369.67</fb>
    <v>0</v>
  </rv>
  <rv s="0">
    <fb>185.42</fb>
    <v>0</v>
  </rv>
  <rv s="0">
    <fb>133.94</fb>
    <v>0</v>
  </rv>
  <rv s="0">
    <fb>97.63</fb>
    <v>0</v>
  </rv>
  <rv s="0">
    <fb>77.77</fb>
    <v>0</v>
  </rv>
  <rv s="0">
    <fb>6688.46</fb>
    <v>0</v>
  </rv>
  <rv s="0">
    <fb>356.24</fb>
    <v>0</v>
  </rv>
  <rv s="0">
    <fb>188.87</fb>
    <v>0</v>
  </rv>
  <rv s="0">
    <fb>123.62</fb>
    <v>0</v>
  </rv>
  <rv s="0">
    <fb>100.72</fb>
    <v>0</v>
  </rv>
  <rv s="0">
    <fb>82.45</fb>
    <v>0</v>
  </rv>
  <rv s="0">
    <fb>6840.2</fb>
    <v>0</v>
  </rv>
  <rv s="0">
    <fb>371.18</fb>
    <v>0</v>
  </rv>
  <rv s="0">
    <fb>206.92</fb>
    <v>0</v>
  </rv>
  <rv s="0">
    <fb>128.9</fb>
    <v>0</v>
  </rv>
  <rv s="0">
    <fb>101.58</fb>
    <v>0</v>
  </rv>
  <rv s="0">
    <fb>86.67</fb>
    <v>0</v>
  </rv>
  <rv s="0">
    <fb>6849.09</fb>
    <v>0</v>
  </rv>
  <rv s="0">
    <fb>351.47</fb>
    <v>0</v>
  </rv>
  <rv s="0">
    <fb>206.95</fb>
    <v>0</v>
  </rv>
  <rv s="0">
    <fb>125.29</fb>
    <v>0</v>
  </rv>
  <rv s="0">
    <fb>95.35</fb>
    <v>0</v>
  </rv>
  <rv s="0">
    <fb>85.25</fb>
    <v>0</v>
  </rv>
  <rv s="0">
    <fb>6845.5</fb>
    <v>0</v>
  </rv>
  <rv s="0">
    <fb>369.56</fb>
    <v>0</v>
  </rv>
  <rv s="0">
    <fb>227.25</fb>
    <v>0</v>
  </rv>
  <rv s="0">
    <fb>109.3</fb>
    <v>0</v>
  </rv>
  <rv s="0">
    <fb>93.53</fb>
    <v>0</v>
  </rv>
  <rv s="0">
    <fb>81.36</fb>
    <v>0</v>
  </rv>
  <rv s="0">
    <fb>6939.03</fb>
    <v>0</v>
  </rv>
  <rv s="0">
    <fb>387.46</fb>
    <v>0</v>
  </rv>
  <rv s="0">
    <fb>248.43</fb>
    <v>0</v>
  </rv>
  <rv s="0">
    <fb>116.35</fb>
    <v>0</v>
  </rv>
  <rv s="0">
    <fb>76.849999999999994</fb>
    <v>0</v>
  </rv>
  <rv s="0">
    <fb>86.47</fb>
    <v>0</v>
  </rv>
  <rv s="0">
    <fb>6878.88</fb>
    <v>0</v>
  </rv>
  <rv s="0">
    <fb>332.59</fb>
    <v>0</v>
  </rv>
  <rv s="0">
    <fb>235.42</fb>
    <v>0</v>
  </rv>
  <rv s="0">
    <fb>104.85</fb>
    <v>0</v>
  </rv>
  <rv s="0">
    <fb>69.540000000000006</fb>
    <v>0</v>
  </rv>
  <rv s="0">
    <fb>82.02</fb>
    <v>0</v>
  </rv>
  <rv s="0">
    <fb>6506.48</fb>
    <v>0</v>
  </rv>
  <rv s="1">
    <v>1</v>
    <v>^TNX</v>
    <v>Monthly</v>
    <v>46082</v>
    <v>46112</v>
    <v>0</v>
    <v>1</v>
    <v>639095616000000000,639098956663361823,0</v>
    <v>0</v>
    <v>a33knm</v>
    <v>TNX</v>
    <v>1</v>
  </rv>
  <rv s="1">
    <v>1</v>
    <v>ABT</v>
    <v>Monthly</v>
    <v>44197</v>
    <v>46112</v>
    <v>0</v>
    <v>1</v>
    <v>639098208000000000,639099843797179361,0</v>
    <v>2</v>
    <v>a1mrar</v>
    <v>XNYS:ABT</v>
    <v>3</v>
  </rv>
  <rv s="1">
    <v>1</v>
    <v>SYK</v>
    <v>Monthly</v>
    <v>44197</v>
    <v>46112</v>
    <v>0</v>
    <v>1</v>
    <v>639098208000000000,639099843799191342,0</v>
    <v>2</v>
    <v>a23vdm</v>
    <v>XNYS:SYK</v>
    <v>4</v>
  </rv>
  <rv s="1">
    <v>1</v>
    <v>JNJ</v>
    <v>Monthly</v>
    <v>44197</v>
    <v>46112</v>
    <v>0</v>
    <v>1</v>
    <v>639098208000000000,639099843795165918,0</v>
    <v>2</v>
    <v>a1w8ec</v>
    <v>XNYS:JNJ</v>
    <v>5</v>
  </rv>
  <rv s="1">
    <v>1</v>
    <v>EW</v>
    <v>Monthly</v>
    <v>44197</v>
    <v>46112</v>
    <v>0</v>
    <v>1</v>
    <v>639098208000000000,639099843796179722,0</v>
    <v>2</v>
    <v>a1ser7</v>
    <v>XNYS:EW</v>
    <v>6</v>
  </rv>
  <rv s="1">
    <v>1</v>
    <v>BSX</v>
    <v>Monthly</v>
    <v>44197</v>
    <v>46112</v>
    <v>0</v>
    <v>1</v>
    <v>639098208000000000,639099843798184486,0</v>
    <v>2</v>
    <v>a1oxur</v>
    <v>XNYS:BSX</v>
    <v>7</v>
  </rv>
</rvData>
</file>

<file path=xl/richData/rdrichvaluestructure.xml><?xml version="1.0" encoding="utf-8"?>
<rvStructures xmlns="http://schemas.microsoft.com/office/spreadsheetml/2017/richdata" count="2">
  <s t="_formattednumber">
    <k n="_Format" t="spb"/>
  </s>
  <s t="_stockhistorycache">
    <k n="_Format" t="spb"/>
    <k n="Symbol" t="s"/>
    <k n="Interval" t="s"/>
    <k n="StartDate" t="i"/>
    <k n="EndDate" t="i"/>
    <k n="f1904" t="b"/>
    <k n="fdcompat" t="b"/>
    <k n="etag" t="s"/>
    <k n="Date" t="a"/>
    <k n="EntityId" t="s"/>
    <k n="Instrument" t="s"/>
    <k n="Close" t="a"/>
  </s>
</rvStructures>
</file>

<file path=xl/richData/rdsupportingpropertybag.xml><?xml version="1.0" encoding="utf-8"?>
<supportingPropertyBags xmlns="http://schemas.microsoft.com/office/spreadsheetml/2017/richdata2">
  <spbData count="2">
    <spb s="0">
      <v>1</v>
    </spb>
    <spb s="1">
      <v>2</v>
      <v>1</v>
    </spb>
  </spbData>
</supportingPropertyBags>
</file>

<file path=xl/richData/rdsupportingpropertybagstructure.xml><?xml version="1.0" encoding="utf-8"?>
<spbStructures xmlns="http://schemas.microsoft.com/office/spreadsheetml/2017/richdata2" count="2">
  <s>
    <k n="_Self" t="i"/>
  </s>
  <s>
    <k n="Date" t="i"/>
    <k n="Close" t="i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2">
    <x:dxf>
      <x:numFmt numFmtId="19" formatCode="m/d/yyyy"/>
    </x:dxf>
    <x:dxf>
      <x:numFmt numFmtId="0" formatCode="General"/>
    </x:dxf>
  </dxfs>
  <richProperties>
    <rPr n="NumberFormat" t="s"/>
  </richProperties>
  <richStyles>
    <rSty dxfid="1">
      <rpv i="0">_([$$-en-US]* #,##0.00_);_([$$-en-US]* (#,##0.00);_([$$-en-US]* "-"??_);_(@_)</rpv>
    </rSty>
    <rSty dxfid="0"/>
  </richStyles>
</richStyleShee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7" Type="http://schemas.openxmlformats.org/officeDocument/2006/relationships/ctrlProp" Target="../ctrlProps/ctrlProp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trlProp" Target="../ctrlProps/ctrlProp4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D8CD6-47B7-4219-84CE-8A000C1D3C09}">
  <dimension ref="A1:L22"/>
  <sheetViews>
    <sheetView tabSelected="1" workbookViewId="0">
      <selection activeCell="B11" sqref="B11"/>
    </sheetView>
  </sheetViews>
  <sheetFormatPr defaultRowHeight="15" x14ac:dyDescent="0.25"/>
  <cols>
    <col min="1" max="1" width="28.140625" bestFit="1" customWidth="1"/>
    <col min="2" max="5" width="12.5703125" bestFit="1" customWidth="1"/>
    <col min="6" max="6" width="11.5703125" bestFit="1" customWidth="1"/>
    <col min="7" max="7" width="10.7109375" bestFit="1" customWidth="1"/>
    <col min="8" max="8" width="18" bestFit="1" customWidth="1"/>
    <col min="12" max="12" width="10.28515625" bestFit="1" customWidth="1"/>
  </cols>
  <sheetData>
    <row r="1" spans="1:12" x14ac:dyDescent="0.25">
      <c r="A1" t="s">
        <v>18</v>
      </c>
      <c r="B1" t="s">
        <v>13</v>
      </c>
      <c r="C1" t="s">
        <v>14</v>
      </c>
      <c r="D1" t="s">
        <v>16</v>
      </c>
      <c r="E1" t="s">
        <v>15</v>
      </c>
      <c r="F1" t="s">
        <v>17</v>
      </c>
    </row>
    <row r="2" spans="1:12" x14ac:dyDescent="0.25">
      <c r="A2" t="s">
        <v>0</v>
      </c>
      <c r="B2" s="1">
        <v>134437.29999999999</v>
      </c>
      <c r="C2" s="1">
        <v>499960.4</v>
      </c>
      <c r="D2" s="1">
        <v>217578.5</v>
      </c>
      <c r="E2" s="1">
        <v>141404.1</v>
      </c>
      <c r="F2" s="1">
        <v>49504.7</v>
      </c>
    </row>
    <row r="3" spans="1:12" x14ac:dyDescent="0.25">
      <c r="A3" t="s">
        <v>1</v>
      </c>
      <c r="B3" s="1">
        <v>0</v>
      </c>
      <c r="C3" s="1">
        <v>0</v>
      </c>
      <c r="D3" s="1">
        <v>0</v>
      </c>
      <c r="E3" s="1">
        <v>0</v>
      </c>
      <c r="F3" s="1">
        <v>0</v>
      </c>
      <c r="I3" s="2"/>
      <c r="J3" s="2"/>
      <c r="K3" s="2"/>
      <c r="L3" s="2"/>
    </row>
    <row r="4" spans="1:12" x14ac:dyDescent="0.25">
      <c r="A4" t="s">
        <v>2</v>
      </c>
      <c r="B4" s="1">
        <v>1153</v>
      </c>
      <c r="C4" s="1">
        <v>8495</v>
      </c>
      <c r="D4" s="1">
        <v>3309</v>
      </c>
      <c r="E4" s="1">
        <v>389</v>
      </c>
      <c r="F4" s="1">
        <v>24.5</v>
      </c>
      <c r="H4" s="1"/>
      <c r="I4" s="2"/>
      <c r="J4" s="2"/>
      <c r="K4" s="2"/>
      <c r="L4" s="2"/>
    </row>
    <row r="5" spans="1:12" x14ac:dyDescent="0.25">
      <c r="A5" t="s">
        <v>3</v>
      </c>
      <c r="B5" s="1">
        <v>15207</v>
      </c>
      <c r="C5" s="1">
        <v>40838</v>
      </c>
      <c r="D5" s="1">
        <v>10827</v>
      </c>
      <c r="E5" s="1">
        <v>11583</v>
      </c>
      <c r="F5" s="1">
        <v>680.9</v>
      </c>
      <c r="I5" s="2"/>
      <c r="J5" s="2"/>
      <c r="K5" s="2"/>
      <c r="L5" s="2"/>
    </row>
    <row r="6" spans="1:12" x14ac:dyDescent="0.25">
      <c r="A6" t="s">
        <v>4</v>
      </c>
      <c r="B6" s="1">
        <v>150797.29999999999</v>
      </c>
      <c r="C6" s="1">
        <v>549293.4</v>
      </c>
      <c r="D6" s="1">
        <v>231714.5</v>
      </c>
      <c r="E6" s="1">
        <v>153376.1</v>
      </c>
      <c r="F6" s="1">
        <v>50210.1</v>
      </c>
      <c r="H6" t="s">
        <v>5</v>
      </c>
      <c r="I6" s="2" cm="1">
        <f t="array" ref="I6">INDEX(B7:F7,$J$9)</f>
        <v>0.98599999999999999</v>
      </c>
      <c r="J6" s="2"/>
      <c r="K6" s="2"/>
      <c r="L6" s="2"/>
    </row>
    <row r="7" spans="1:12" x14ac:dyDescent="0.25">
      <c r="A7" t="s">
        <v>5</v>
      </c>
      <c r="B7" s="2">
        <v>0.89200000000000002</v>
      </c>
      <c r="C7" s="2">
        <v>0.91</v>
      </c>
      <c r="D7" s="2">
        <v>0.93899999999999995</v>
      </c>
      <c r="E7" s="2">
        <v>0.92200000000000004</v>
      </c>
      <c r="F7" s="2">
        <v>0.98599999999999999</v>
      </c>
      <c r="H7" t="s">
        <v>6</v>
      </c>
      <c r="I7" s="2" cm="1">
        <f t="array" ref="I7">INDEX(B8:F8,$J$9)</f>
        <v>0</v>
      </c>
      <c r="J7" s="2"/>
      <c r="K7" s="2"/>
      <c r="L7" s="2"/>
    </row>
    <row r="8" spans="1:12" x14ac:dyDescent="0.25">
      <c r="A8" t="s">
        <v>6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H8" t="s">
        <v>7</v>
      </c>
      <c r="I8" s="2" cm="1">
        <f t="array" ref="I8">INDEX(B9:F9,$J$9)</f>
        <v>1E-4</v>
      </c>
    </row>
    <row r="9" spans="1:12" x14ac:dyDescent="0.25">
      <c r="A9" t="s">
        <v>7</v>
      </c>
      <c r="B9" s="2">
        <v>8.0000000000000002E-3</v>
      </c>
      <c r="C9" s="2">
        <v>1.4999999999999999E-2</v>
      </c>
      <c r="D9" s="2">
        <v>1.4E-2</v>
      </c>
      <c r="E9" s="2">
        <v>3.0000000000000001E-3</v>
      </c>
      <c r="F9" s="2">
        <v>1E-4</v>
      </c>
      <c r="H9" t="s">
        <v>8</v>
      </c>
      <c r="I9" s="2" cm="1">
        <f t="array" ref="I9">INDEX(B10:F10,$J$9)</f>
        <v>1.4E-2</v>
      </c>
      <c r="J9">
        <v>5</v>
      </c>
    </row>
    <row r="10" spans="1:12" x14ac:dyDescent="0.25">
      <c r="A10" t="s">
        <v>8</v>
      </c>
      <c r="B10" s="2">
        <v>0.10100000000000001</v>
      </c>
      <c r="C10" s="2">
        <v>7.3999999999999996E-2</v>
      </c>
      <c r="D10" s="2">
        <v>4.7E-2</v>
      </c>
      <c r="E10" s="2">
        <v>7.5999999999999998E-2</v>
      </c>
      <c r="F10" s="2">
        <v>1.4E-2</v>
      </c>
    </row>
    <row r="11" spans="1:12" x14ac:dyDescent="0.25">
      <c r="A11" t="s">
        <v>9</v>
      </c>
      <c r="B11" s="4">
        <f ca="1">_xlfn.XLOOKUP(B1,'Beta Hand Calculations'!$A67:$A72,'Beta Hand Calculations'!$B67:$B72)</f>
        <v>0.92256518040058122</v>
      </c>
      <c r="C11" s="4">
        <f ca="1">_xlfn.XLOOKUP(C1,'Beta Hand Calculations'!$A67:$A72,'Beta Hand Calculations'!$B67:$B72)</f>
        <v>0.34772130409485064</v>
      </c>
      <c r="D11" s="4">
        <f ca="1">_xlfn.XLOOKUP(D1,'Beta Hand Calculations'!$A67:$A72,'Beta Hand Calculations'!$B67:$B72)</f>
        <v>0.75981577765931252</v>
      </c>
      <c r="E11" s="4">
        <f ca="1">_xlfn.XLOOKUP(E1,'Beta Hand Calculations'!$A67:$A72,'Beta Hand Calculations'!$B67:$B72)</f>
        <v>0.73427617390879107</v>
      </c>
      <c r="F11" s="4">
        <f ca="1">_xlfn.XLOOKUP(F1,'Beta Hand Calculations'!$A67:$A72,'Beta Hand Calculations'!$B67:$B72)</f>
        <v>0.92220722387627629</v>
      </c>
    </row>
    <row r="12" spans="1:12" x14ac:dyDescent="0.25">
      <c r="A12" t="s">
        <v>19</v>
      </c>
      <c r="B12" s="2">
        <f ca="1">B13+B18</f>
        <v>9.8909999999999998E-2</v>
      </c>
      <c r="C12" s="2"/>
      <c r="D12" s="2"/>
      <c r="E12" s="2"/>
      <c r="F12" s="2"/>
    </row>
    <row r="13" spans="1:12" x14ac:dyDescent="0.25">
      <c r="A13" t="s">
        <v>10</v>
      </c>
      <c r="B13" s="2" cm="1">
        <f t="array" aca="1" ref="B13" ca="1">(_xlfn.STOCKHISTORY("^TNX",TODAY(),TODAY(),2,0,1)) / 1000</f>
        <v>4.3909999999999998E-2</v>
      </c>
      <c r="C13" s="1"/>
      <c r="D13" s="1"/>
      <c r="E13" s="1"/>
      <c r="F13" s="1"/>
    </row>
    <row r="14" spans="1:12" x14ac:dyDescent="0.25">
      <c r="A14" t="s">
        <v>29</v>
      </c>
      <c r="B14" s="2">
        <v>0.155</v>
      </c>
      <c r="C14" s="2">
        <v>0.18</v>
      </c>
      <c r="D14" s="2">
        <v>0.16259999999999999</v>
      </c>
      <c r="E14" s="2">
        <v>0.1168</v>
      </c>
      <c r="F14" s="2">
        <v>0.17230000000000001</v>
      </c>
    </row>
    <row r="15" spans="1:12" x14ac:dyDescent="0.25">
      <c r="A15" t="s">
        <v>11</v>
      </c>
      <c r="B15" s="2">
        <v>3.9E-2</v>
      </c>
      <c r="C15" s="2">
        <v>4.2000000000000003E-2</v>
      </c>
      <c r="D15" s="2">
        <v>4.1000000000000002E-2</v>
      </c>
      <c r="E15" s="2">
        <v>4.8000000000000001E-2</v>
      </c>
      <c r="F15" s="2">
        <v>4.4999999999999998E-2</v>
      </c>
    </row>
    <row r="16" spans="1:12" x14ac:dyDescent="0.25">
      <c r="A16" t="s">
        <v>12</v>
      </c>
      <c r="B16" s="2">
        <f ca="1">((B2/B6)*($B$13+(B11*$B$18)))+(((B4+B5)/B6)*B15)*(1-B14)</f>
        <v>8.7957676291211373E-2</v>
      </c>
      <c r="C16" s="2">
        <f ca="1">((C2/C6)*($B$13+(C11*$B$18)))+(((C4+C5)/C6)*C15)*(1-C14)</f>
        <v>6.0466534295893735E-2</v>
      </c>
      <c r="D16" s="2">
        <f ca="1">((D2/D6)*($B$13+(D11*$B$18)))+(((D4+D5)/D6)*D15)*(1-D14)</f>
        <v>8.2566199449190997E-2</v>
      </c>
      <c r="E16" s="2">
        <f ca="1">((E2/E6)*($B$13+(E11*$B$18)))+(((E4+E5)/E6)*E15)*(1-E14)</f>
        <v>8.1024498562461064E-2</v>
      </c>
      <c r="F16" s="2">
        <f ca="1">((F2/F6)*($B$13+(F11*$B$18)))+(((F4+F5)/F6)*F15)*(1-F14)</f>
        <v>9.3825198827935691E-2</v>
      </c>
    </row>
    <row r="17" spans="1:10" x14ac:dyDescent="0.25">
      <c r="B17" s="1"/>
      <c r="C17" s="1"/>
      <c r="D17" s="1"/>
      <c r="E17" s="1"/>
      <c r="F17" s="1"/>
      <c r="G17" s="7" t="s">
        <v>32</v>
      </c>
      <c r="H17" s="7"/>
      <c r="I17" s="7"/>
      <c r="J17" s="7"/>
    </row>
    <row r="18" spans="1:10" x14ac:dyDescent="0.25">
      <c r="A18" t="s">
        <v>20</v>
      </c>
      <c r="B18" s="2">
        <v>5.5E-2</v>
      </c>
    </row>
    <row r="20" spans="1:10" ht="15" customHeight="1" x14ac:dyDescent="0.25">
      <c r="A20" s="8" t="s">
        <v>33</v>
      </c>
      <c r="B20" s="8"/>
      <c r="C20" s="8"/>
      <c r="D20" s="8"/>
    </row>
    <row r="21" spans="1:10" x14ac:dyDescent="0.25">
      <c r="A21" s="8"/>
      <c r="B21" s="8"/>
      <c r="C21" s="8"/>
      <c r="D21" s="8"/>
    </row>
    <row r="22" spans="1:10" x14ac:dyDescent="0.25">
      <c r="A22" s="8"/>
      <c r="B22" s="8"/>
      <c r="C22" s="8"/>
      <c r="D22" s="8"/>
    </row>
  </sheetData>
  <mergeCells count="2">
    <mergeCell ref="G17:J17"/>
    <mergeCell ref="A20:D22"/>
  </mergeCell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3" name="Option Button 3">
              <controlPr defaultSize="0" autoFill="0" autoLine="0" autoPict="0">
                <anchor moveWithCells="1">
                  <from>
                    <xdr:col>6</xdr:col>
                    <xdr:colOff>66675</xdr:colOff>
                    <xdr:row>2</xdr:row>
                    <xdr:rowOff>133350</xdr:rowOff>
                  </from>
                  <to>
                    <xdr:col>7</xdr:col>
                    <xdr:colOff>381000</xdr:colOff>
                    <xdr:row>3</xdr:row>
                    <xdr:rowOff>152400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4" name="Option Button 4">
              <controlPr defaultSize="0" autoFill="0" autoLine="0" autoPict="0">
                <anchor moveWithCells="1">
                  <from>
                    <xdr:col>6</xdr:col>
                    <xdr:colOff>66675</xdr:colOff>
                    <xdr:row>3</xdr:row>
                    <xdr:rowOff>104775</xdr:rowOff>
                  </from>
                  <to>
                    <xdr:col>7</xdr:col>
                    <xdr:colOff>381000</xdr:colOff>
                    <xdr:row>4</xdr:row>
                    <xdr:rowOff>123825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5" name="Option Button 5">
              <controlPr defaultSize="0" autoFill="0" autoLine="0" autoPict="0">
                <anchor moveWithCells="1">
                  <from>
                    <xdr:col>6</xdr:col>
                    <xdr:colOff>66675</xdr:colOff>
                    <xdr:row>4</xdr:row>
                    <xdr:rowOff>66675</xdr:rowOff>
                  </from>
                  <to>
                    <xdr:col>7</xdr:col>
                    <xdr:colOff>381000</xdr:colOff>
                    <xdr:row>5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6" name="Option Button 6">
              <controlPr defaultSize="0" autoFill="0" autoLine="0" autoPict="0">
                <anchor moveWithCells="1">
                  <from>
                    <xdr:col>6</xdr:col>
                    <xdr:colOff>66675</xdr:colOff>
                    <xdr:row>5</xdr:row>
                    <xdr:rowOff>38100</xdr:rowOff>
                  </from>
                  <to>
                    <xdr:col>7</xdr:col>
                    <xdr:colOff>381000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7" name="Option Button 7">
              <controlPr defaultSize="0" autoFill="0" autoLine="0" autoPict="0">
                <anchor moveWithCells="1">
                  <from>
                    <xdr:col>6</xdr:col>
                    <xdr:colOff>66675</xdr:colOff>
                    <xdr:row>5</xdr:row>
                    <xdr:rowOff>190500</xdr:rowOff>
                  </from>
                  <to>
                    <xdr:col>7</xdr:col>
                    <xdr:colOff>381000</xdr:colOff>
                    <xdr:row>7</xdr:row>
                    <xdr:rowOff>19050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0FB3-6937-4905-AE72-286172CD72C2}">
  <dimension ref="A1:M72"/>
  <sheetViews>
    <sheetView workbookViewId="0">
      <selection activeCell="B67" sqref="B67"/>
    </sheetView>
  </sheetViews>
  <sheetFormatPr defaultRowHeight="15" x14ac:dyDescent="0.25"/>
  <cols>
    <col min="1" max="1" width="21.140625" bestFit="1" customWidth="1"/>
    <col min="2" max="2" width="9.42578125" bestFit="1" customWidth="1"/>
    <col min="3" max="3" width="11.42578125" bestFit="1" customWidth="1"/>
    <col min="4" max="4" width="9" bestFit="1" customWidth="1"/>
    <col min="5" max="5" width="11.42578125" bestFit="1" customWidth="1"/>
    <col min="7" max="7" width="11.42578125" bestFit="1" customWidth="1"/>
    <col min="9" max="9" width="11.5703125" bestFit="1" customWidth="1"/>
    <col min="11" max="11" width="11.140625" bestFit="1" customWidth="1"/>
    <col min="12" max="12" width="10.5703125" bestFit="1" customWidth="1"/>
  </cols>
  <sheetData>
    <row r="1" spans="1:13" x14ac:dyDescent="0.25">
      <c r="A1" t="s">
        <v>30</v>
      </c>
      <c r="B1" t="s">
        <v>13</v>
      </c>
      <c r="C1" t="s">
        <v>22</v>
      </c>
      <c r="D1" t="s">
        <v>14</v>
      </c>
      <c r="E1" t="s">
        <v>23</v>
      </c>
      <c r="F1" t="s">
        <v>16</v>
      </c>
      <c r="G1" t="s">
        <v>24</v>
      </c>
      <c r="H1" t="s">
        <v>15</v>
      </c>
      <c r="I1" t="s">
        <v>25</v>
      </c>
      <c r="J1" t="s">
        <v>17</v>
      </c>
      <c r="K1" t="s">
        <v>26</v>
      </c>
      <c r="L1" t="s">
        <v>21</v>
      </c>
      <c r="M1" t="s">
        <v>27</v>
      </c>
    </row>
    <row r="2" spans="1:13" x14ac:dyDescent="0.25">
      <c r="A2" s="3">
        <v>44197</v>
      </c>
      <c r="B2" s="1" cm="1" vm="1">
        <f t="array" aca="1" ref="B2:B64" ca="1">_xlfn.STOCKHISTORY(B$1,$A$2,$A$64,2,0,1)</f>
        <v>221.01</v>
      </c>
      <c r="C2" s="2">
        <f ca="1">B3/B2-1</f>
        <v>9.8095108818605503E-2</v>
      </c>
      <c r="D2" s="1" cm="1" vm="2">
        <f t="array" aca="1" ref="D2:D64" ca="1">_xlfn.STOCKHISTORY(D$1,$A$2,$A$64,2,0,1)</f>
        <v>163.13</v>
      </c>
      <c r="E2" s="2">
        <f ca="1">D3/D2-1</f>
        <v>-2.8627475019922688E-2</v>
      </c>
      <c r="F2" s="1" cm="1" vm="3">
        <f t="array" aca="1" ref="F2:F64" ca="1">_xlfn.STOCKHISTORY(F$1,$A$2,$A$64,2,0,1)</f>
        <v>123.59</v>
      </c>
      <c r="G2" s="2">
        <f ca="1">F3/F2-1</f>
        <v>-3.0827736871915201E-2</v>
      </c>
      <c r="H2" s="1" cm="1" vm="4">
        <f t="array" aca="1" ref="H2:H64" ca="1">_xlfn.STOCKHISTORY(H$1,$A$2,$A$64,2,0,1)</f>
        <v>35.44</v>
      </c>
      <c r="I2" s="2">
        <f ca="1">H3/H2-1</f>
        <v>9.424379232505653E-2</v>
      </c>
      <c r="J2" s="1" cm="1" vm="5">
        <f t="array" aca="1" ref="J2:J64" ca="1">_xlfn.STOCKHISTORY(J$1,$A$2,$A$64,2,0,1)</f>
        <v>82.58</v>
      </c>
      <c r="K2" s="2">
        <f ca="1">J3/J2-1</f>
        <v>6.296924194720166E-3</v>
      </c>
      <c r="L2" s="1" vm="6">
        <v>3714.24</v>
      </c>
      <c r="M2" s="2">
        <f>L3/L2-1</f>
        <v>2.6091474971999817E-2</v>
      </c>
    </row>
    <row r="3" spans="1:13" x14ac:dyDescent="0.25">
      <c r="A3" s="3">
        <v>44228</v>
      </c>
      <c r="B3" s="1" vm="7">
        <f ca="1"/>
        <v>242.69</v>
      </c>
      <c r="C3" s="2">
        <f t="shared" ref="C3:C63" ca="1" si="0">B4/B3-1</f>
        <v>3.6672297993325387E-3</v>
      </c>
      <c r="D3" s="1" vm="8">
        <f ca="1"/>
        <v>158.46</v>
      </c>
      <c r="E3" s="2">
        <f t="shared" ref="E3:E63" ca="1" si="1">D4/D3-1</f>
        <v>3.7170263788968816E-2</v>
      </c>
      <c r="F3" s="1" vm="9">
        <f ca="1"/>
        <v>119.78</v>
      </c>
      <c r="G3" s="2">
        <f t="shared" ref="G3:G63" ca="1" si="2">F4/F3-1</f>
        <v>5.0091835030885434E-4</v>
      </c>
      <c r="H3" s="1" vm="10">
        <f ca="1"/>
        <v>38.78</v>
      </c>
      <c r="I3" s="2">
        <f t="shared" ref="I3:I63" ca="1" si="3">H4/H3-1</f>
        <v>-3.3522434244456223E-3</v>
      </c>
      <c r="J3" s="1" vm="11">
        <f ca="1"/>
        <v>83.1</v>
      </c>
      <c r="K3" s="2">
        <f t="shared" ref="K3:K63" ca="1" si="4">J4/J3-1</f>
        <v>6.4981949458484678E-3</v>
      </c>
      <c r="L3" s="1" vm="12">
        <v>3811.15</v>
      </c>
      <c r="M3" s="2">
        <f t="shared" ref="M3:M63" si="5">L4/L3-1</f>
        <v>4.2438634008107767E-2</v>
      </c>
    </row>
    <row r="4" spans="1:13" x14ac:dyDescent="0.25">
      <c r="A4" s="3">
        <v>44256</v>
      </c>
      <c r="B4" s="1" vm="13">
        <f ca="1"/>
        <v>243.58</v>
      </c>
      <c r="C4" s="2">
        <f t="shared" ca="1" si="0"/>
        <v>7.8208391493554297E-2</v>
      </c>
      <c r="D4" s="1" vm="14">
        <f ca="1"/>
        <v>164.35</v>
      </c>
      <c r="E4" s="2">
        <f t="shared" ca="1" si="1"/>
        <v>-9.8570124733800002E-3</v>
      </c>
      <c r="F4" s="1" vm="15">
        <f ca="1"/>
        <v>119.84</v>
      </c>
      <c r="G4" s="2">
        <f t="shared" ca="1" si="2"/>
        <v>2.0026702269693164E-3</v>
      </c>
      <c r="H4" s="1" vm="16">
        <f ca="1"/>
        <v>38.65</v>
      </c>
      <c r="I4" s="2">
        <f t="shared" ca="1" si="3"/>
        <v>0.12807244501940507</v>
      </c>
      <c r="J4" s="1" vm="17">
        <f ca="1"/>
        <v>83.64</v>
      </c>
      <c r="K4" s="2">
        <f t="shared" ca="1" si="4"/>
        <v>0.14203730272596848</v>
      </c>
      <c r="L4" s="1" vm="18">
        <v>3972.89</v>
      </c>
      <c r="M4" s="2">
        <f t="shared" si="5"/>
        <v>5.242531255584737E-2</v>
      </c>
    </row>
    <row r="5" spans="1:13" x14ac:dyDescent="0.25">
      <c r="A5" s="3">
        <v>44287</v>
      </c>
      <c r="B5" s="1" vm="19">
        <f ca="1"/>
        <v>262.63</v>
      </c>
      <c r="C5" s="2">
        <f t="shared" ca="1" si="0"/>
        <v>-2.8024216578456329E-2</v>
      </c>
      <c r="D5" s="1" vm="20">
        <f ca="1"/>
        <v>162.72999999999999</v>
      </c>
      <c r="E5" s="2">
        <f t="shared" ca="1" si="1"/>
        <v>4.0066367602777708E-2</v>
      </c>
      <c r="F5" s="1" vm="21">
        <f ca="1"/>
        <v>120.08</v>
      </c>
      <c r="G5" s="2">
        <f t="shared" ca="1" si="2"/>
        <v>-2.8564290473017895E-2</v>
      </c>
      <c r="H5" s="1" vm="22">
        <f ca="1"/>
        <v>43.6</v>
      </c>
      <c r="I5" s="2">
        <f t="shared" ca="1" si="3"/>
        <v>-2.4082568807339499E-2</v>
      </c>
      <c r="J5" s="1" vm="23">
        <f ca="1"/>
        <v>95.52</v>
      </c>
      <c r="K5" s="2">
        <f t="shared" ca="1" si="4"/>
        <v>3.9782244556114676E-3</v>
      </c>
      <c r="L5" s="1" vm="24">
        <v>4181.17</v>
      </c>
      <c r="M5" s="2">
        <f t="shared" si="5"/>
        <v>5.4865025818131574E-3</v>
      </c>
    </row>
    <row r="6" spans="1:13" x14ac:dyDescent="0.25">
      <c r="A6" s="3">
        <v>44317</v>
      </c>
      <c r="B6" s="1" vm="25">
        <f ca="1"/>
        <v>255.27</v>
      </c>
      <c r="C6" s="2">
        <f t="shared" ca="1" si="0"/>
        <v>1.747169663493553E-2</v>
      </c>
      <c r="D6" s="1" vm="26">
        <f ca="1"/>
        <v>169.25</v>
      </c>
      <c r="E6" s="2">
        <f t="shared" ca="1" si="1"/>
        <v>-2.6646971935007313E-2</v>
      </c>
      <c r="F6" s="1" vm="27">
        <f ca="1"/>
        <v>116.65</v>
      </c>
      <c r="G6" s="2">
        <f t="shared" ca="1" si="2"/>
        <v>-6.1723103300471704E-3</v>
      </c>
      <c r="H6" s="1" vm="28">
        <f ca="1"/>
        <v>42.55</v>
      </c>
      <c r="I6" s="2">
        <f t="shared" ca="1" si="3"/>
        <v>4.9353701527614646E-3</v>
      </c>
      <c r="J6" s="1" vm="29">
        <f ca="1"/>
        <v>95.9</v>
      </c>
      <c r="K6" s="2">
        <f t="shared" ca="1" si="4"/>
        <v>7.997914494264835E-2</v>
      </c>
      <c r="L6" s="1" vm="30">
        <v>4204.1099999999997</v>
      </c>
      <c r="M6" s="2">
        <f t="shared" si="5"/>
        <v>2.221397632316946E-2</v>
      </c>
    </row>
    <row r="7" spans="1:13" x14ac:dyDescent="0.25">
      <c r="A7" s="3">
        <v>44348</v>
      </c>
      <c r="B7" s="1" vm="31">
        <f ca="1"/>
        <v>259.73</v>
      </c>
      <c r="C7" s="2">
        <f t="shared" ca="1" si="0"/>
        <v>4.3160204828090576E-2</v>
      </c>
      <c r="D7" s="1" vm="32">
        <f ca="1"/>
        <v>164.74</v>
      </c>
      <c r="E7" s="2">
        <f t="shared" ca="1" si="1"/>
        <v>4.5283476994051108E-2</v>
      </c>
      <c r="F7" s="1" vm="33">
        <f ca="1"/>
        <v>115.93</v>
      </c>
      <c r="G7" s="2">
        <f t="shared" ca="1" si="2"/>
        <v>4.3560769429828339E-2</v>
      </c>
      <c r="H7" s="1" vm="34">
        <f ca="1"/>
        <v>42.76</v>
      </c>
      <c r="I7" s="2">
        <f t="shared" ca="1" si="3"/>
        <v>6.6417212347988919E-2</v>
      </c>
      <c r="J7" s="1" vm="35">
        <f ca="1"/>
        <v>103.57</v>
      </c>
      <c r="K7" s="2">
        <f t="shared" ca="1" si="4"/>
        <v>8.4001158636670903E-2</v>
      </c>
      <c r="L7" s="1" vm="36">
        <v>4297.5</v>
      </c>
      <c r="M7" s="2">
        <f t="shared" si="5"/>
        <v>2.274810936591054E-2</v>
      </c>
    </row>
    <row r="8" spans="1:13" x14ac:dyDescent="0.25">
      <c r="A8" s="3">
        <v>44378</v>
      </c>
      <c r="B8" s="1" vm="37">
        <f ca="1"/>
        <v>270.94</v>
      </c>
      <c r="C8" s="2">
        <f t="shared" ca="1" si="0"/>
        <v>2.2735661031962895E-2</v>
      </c>
      <c r="D8" s="1" vm="38">
        <f ca="1"/>
        <v>172.2</v>
      </c>
      <c r="E8" s="2">
        <f t="shared" ca="1" si="1"/>
        <v>5.4006968641115982E-3</v>
      </c>
      <c r="F8" s="1" vm="39">
        <f ca="1"/>
        <v>120.98</v>
      </c>
      <c r="G8" s="2">
        <f t="shared" ca="1" si="2"/>
        <v>4.4552818647710435E-2</v>
      </c>
      <c r="H8" s="1" vm="40">
        <f ca="1"/>
        <v>45.6</v>
      </c>
      <c r="I8" s="2">
        <f t="shared" ca="1" si="3"/>
        <v>-9.8684210526316374E-3</v>
      </c>
      <c r="J8" s="1" vm="41">
        <f ca="1"/>
        <v>112.27</v>
      </c>
      <c r="K8" s="2">
        <f t="shared" ca="1" si="4"/>
        <v>4.373385588313905E-2</v>
      </c>
      <c r="L8" s="1" vm="42">
        <v>4395.26</v>
      </c>
      <c r="M8" s="2">
        <f t="shared" si="5"/>
        <v>2.8990321391681118E-2</v>
      </c>
    </row>
    <row r="9" spans="1:13" x14ac:dyDescent="0.25">
      <c r="A9" s="3">
        <v>44409</v>
      </c>
      <c r="B9" s="1" vm="43">
        <f ca="1"/>
        <v>277.10000000000002</v>
      </c>
      <c r="C9" s="2">
        <f t="shared" ca="1" si="0"/>
        <v>-4.8285817394442376E-2</v>
      </c>
      <c r="D9" s="1" vm="44">
        <f ca="1"/>
        <v>173.13</v>
      </c>
      <c r="E9" s="2">
        <f t="shared" ca="1" si="1"/>
        <v>-6.7174955235949851E-2</v>
      </c>
      <c r="F9" s="1" vm="45">
        <f ca="1"/>
        <v>126.37</v>
      </c>
      <c r="G9" s="2">
        <f t="shared" ca="1" si="2"/>
        <v>-6.520534937089506E-2</v>
      </c>
      <c r="H9" s="1" vm="46">
        <f ca="1"/>
        <v>45.15</v>
      </c>
      <c r="I9" s="2">
        <f t="shared" ca="1" si="3"/>
        <v>-3.8981173864894747E-2</v>
      </c>
      <c r="J9" s="1" vm="47">
        <f ca="1"/>
        <v>117.18</v>
      </c>
      <c r="K9" s="2">
        <f t="shared" ca="1" si="4"/>
        <v>-3.3879501621437269E-2</v>
      </c>
      <c r="L9" s="1" vm="48">
        <v>4522.68</v>
      </c>
      <c r="M9" s="2">
        <f t="shared" si="5"/>
        <v>-4.7569140421166334E-2</v>
      </c>
    </row>
    <row r="10" spans="1:13" x14ac:dyDescent="0.25">
      <c r="A10" s="3">
        <v>44440</v>
      </c>
      <c r="B10" s="1" vm="49">
        <f ca="1"/>
        <v>263.72000000000003</v>
      </c>
      <c r="C10" s="2">
        <f t="shared" ca="1" si="0"/>
        <v>8.9109661762474257E-3</v>
      </c>
      <c r="D10" s="1" vm="50">
        <f ca="1"/>
        <v>161.5</v>
      </c>
      <c r="E10" s="2">
        <f t="shared" ca="1" si="1"/>
        <v>8.544891640866803E-3</v>
      </c>
      <c r="F10" s="1" vm="51">
        <f ca="1"/>
        <v>118.13</v>
      </c>
      <c r="G10" s="2">
        <f t="shared" ca="1" si="2"/>
        <v>9.1086091594006602E-2</v>
      </c>
      <c r="H10" s="1" vm="52">
        <f ca="1"/>
        <v>43.39</v>
      </c>
      <c r="I10" s="2">
        <f t="shared" ca="1" si="3"/>
        <v>-5.992164093108987E-3</v>
      </c>
      <c r="J10" s="1" vm="53">
        <f ca="1"/>
        <v>113.21</v>
      </c>
      <c r="K10" s="2">
        <f t="shared" ca="1" si="4"/>
        <v>5.8387068280187249E-2</v>
      </c>
      <c r="L10" s="1" vm="54">
        <v>4307.54</v>
      </c>
      <c r="M10" s="2">
        <f t="shared" si="5"/>
        <v>6.9143873301234615E-2</v>
      </c>
    </row>
    <row r="11" spans="1:13" x14ac:dyDescent="0.25">
      <c r="A11" s="3">
        <v>44470</v>
      </c>
      <c r="B11" s="1" vm="55">
        <f ca="1"/>
        <v>266.07</v>
      </c>
      <c r="C11" s="2">
        <f t="shared" ca="1" si="0"/>
        <v>-0.11064757394670577</v>
      </c>
      <c r="D11" s="1" vm="56">
        <f ca="1"/>
        <v>162.88</v>
      </c>
      <c r="E11" s="2">
        <f t="shared" ca="1" si="1"/>
        <v>-4.2669449901768131E-2</v>
      </c>
      <c r="F11" s="1" vm="57">
        <f ca="1"/>
        <v>128.88999999999999</v>
      </c>
      <c r="G11" s="2">
        <f t="shared" ca="1" si="2"/>
        <v>-2.4206687873380317E-2</v>
      </c>
      <c r="H11" s="1" vm="58">
        <f ca="1"/>
        <v>43.13</v>
      </c>
      <c r="I11" s="2">
        <f t="shared" ca="1" si="3"/>
        <v>-0.11731973104567595</v>
      </c>
      <c r="J11" s="1" vm="59">
        <f ca="1"/>
        <v>119.82</v>
      </c>
      <c r="K11" s="2">
        <f t="shared" ca="1" si="4"/>
        <v>-0.10440660991487227</v>
      </c>
      <c r="L11" s="1" vm="60">
        <v>4605.38</v>
      </c>
      <c r="M11" s="2">
        <f t="shared" si="5"/>
        <v>-8.3337314184714906E-3</v>
      </c>
    </row>
    <row r="12" spans="1:13" x14ac:dyDescent="0.25">
      <c r="A12" s="3">
        <v>44501</v>
      </c>
      <c r="B12" s="1" vm="61">
        <f ca="1"/>
        <v>236.63</v>
      </c>
      <c r="C12" s="2">
        <f t="shared" ca="1" si="0"/>
        <v>0.13011875079237645</v>
      </c>
      <c r="D12" s="1" vm="62">
        <f ca="1"/>
        <v>155.93</v>
      </c>
      <c r="E12" s="2">
        <f t="shared" ca="1" si="1"/>
        <v>9.7094850253318654E-2</v>
      </c>
      <c r="F12" s="1" vm="63">
        <f ca="1"/>
        <v>125.77</v>
      </c>
      <c r="G12" s="2">
        <f t="shared" ca="1" si="2"/>
        <v>0.11902679494315027</v>
      </c>
      <c r="H12" s="1" vm="64">
        <f ca="1"/>
        <v>38.07</v>
      </c>
      <c r="I12" s="2">
        <f t="shared" ca="1" si="3"/>
        <v>0.1158392434988178</v>
      </c>
      <c r="J12" s="1" vm="65">
        <f ca="1"/>
        <v>107.31</v>
      </c>
      <c r="K12" s="2">
        <f t="shared" ca="1" si="4"/>
        <v>0.20725002329699005</v>
      </c>
      <c r="L12" s="1" vm="66">
        <v>4567</v>
      </c>
      <c r="M12" s="2">
        <f t="shared" si="5"/>
        <v>4.3612874972629889E-2</v>
      </c>
    </row>
    <row r="13" spans="1:13" x14ac:dyDescent="0.25">
      <c r="A13" s="3">
        <v>44531</v>
      </c>
      <c r="B13" s="1" vm="67">
        <f ca="1"/>
        <v>267.42</v>
      </c>
      <c r="C13" s="2">
        <f t="shared" ca="1" si="0"/>
        <v>-7.2432877122129979E-2</v>
      </c>
      <c r="D13" s="1" vm="68">
        <f ca="1"/>
        <v>171.07</v>
      </c>
      <c r="E13" s="2">
        <f t="shared" ca="1" si="1"/>
        <v>7.1315835622844936E-3</v>
      </c>
      <c r="F13" s="1" vm="69">
        <f ca="1"/>
        <v>140.74</v>
      </c>
      <c r="G13" s="2">
        <f t="shared" ca="1" si="2"/>
        <v>-9.4358391359954608E-2</v>
      </c>
      <c r="H13" s="1" vm="70">
        <f ca="1"/>
        <v>42.48</v>
      </c>
      <c r="I13" s="2">
        <f t="shared" ca="1" si="3"/>
        <v>9.8870056497175618E-3</v>
      </c>
      <c r="J13" s="1" vm="71">
        <f ca="1"/>
        <v>129.55000000000001</v>
      </c>
      <c r="K13" s="2">
        <f t="shared" ca="1" si="4"/>
        <v>-0.15708220764183722</v>
      </c>
      <c r="L13" s="1" vm="72">
        <v>4766.18</v>
      </c>
      <c r="M13" s="2">
        <f t="shared" si="5"/>
        <v>-5.2585089106999772E-2</v>
      </c>
    </row>
    <row r="14" spans="1:13" x14ac:dyDescent="0.25">
      <c r="A14" s="3">
        <v>44562</v>
      </c>
      <c r="B14" s="1" vm="73">
        <f ca="1"/>
        <v>248.05</v>
      </c>
      <c r="C14" s="2">
        <f t="shared" ca="1" si="0"/>
        <v>6.1681112678895422E-2</v>
      </c>
      <c r="D14" s="1" vm="74">
        <f ca="1"/>
        <v>172.29</v>
      </c>
      <c r="E14" s="2">
        <f t="shared" ca="1" si="1"/>
        <v>-4.4808172267688184E-2</v>
      </c>
      <c r="F14" s="1" vm="75">
        <f ca="1"/>
        <v>127.46</v>
      </c>
      <c r="G14" s="2">
        <f t="shared" ca="1" si="2"/>
        <v>-5.3663894555154523E-2</v>
      </c>
      <c r="H14" s="1" vm="76">
        <f ca="1"/>
        <v>42.9</v>
      </c>
      <c r="I14" s="2">
        <f t="shared" ca="1" si="3"/>
        <v>2.96037296037297E-2</v>
      </c>
      <c r="J14" s="1" vm="77">
        <f ca="1"/>
        <v>109.2</v>
      </c>
      <c r="K14" s="2">
        <f t="shared" ca="1" si="4"/>
        <v>2.9029304029304148E-2</v>
      </c>
      <c r="L14" s="1" vm="78">
        <v>4515.55</v>
      </c>
      <c r="M14" s="2">
        <f t="shared" si="5"/>
        <v>-3.1360520866782648E-2</v>
      </c>
    </row>
    <row r="15" spans="1:13" x14ac:dyDescent="0.25">
      <c r="A15" s="3">
        <v>44593</v>
      </c>
      <c r="B15" s="1" vm="79">
        <f ca="1"/>
        <v>263.35000000000002</v>
      </c>
      <c r="C15" s="2">
        <f t="shared" ca="1" si="0"/>
        <v>1.5188912094171281E-2</v>
      </c>
      <c r="D15" s="1" vm="80">
        <f ca="1"/>
        <v>164.57</v>
      </c>
      <c r="E15" s="2">
        <f t="shared" ca="1" si="1"/>
        <v>7.6927751108950559E-2</v>
      </c>
      <c r="F15" s="1" vm="81">
        <f ca="1"/>
        <v>120.62</v>
      </c>
      <c r="G15" s="2">
        <f t="shared" ca="1" si="2"/>
        <v>-1.8736527938981951E-2</v>
      </c>
      <c r="H15" s="1" vm="82">
        <f ca="1"/>
        <v>44.17</v>
      </c>
      <c r="I15" s="2">
        <f t="shared" ca="1" si="3"/>
        <v>2.7167760923703099E-3</v>
      </c>
      <c r="J15" s="1" vm="83">
        <f ca="1"/>
        <v>112.37</v>
      </c>
      <c r="K15" s="2">
        <f t="shared" ca="1" si="4"/>
        <v>4.7610572216783886E-2</v>
      </c>
      <c r="L15" s="1" vm="84">
        <v>4373.9399999999996</v>
      </c>
      <c r="M15" s="2">
        <f t="shared" si="5"/>
        <v>3.5773238773280092E-2</v>
      </c>
    </row>
    <row r="16" spans="1:13" x14ac:dyDescent="0.25">
      <c r="A16" s="3">
        <v>44621</v>
      </c>
      <c r="B16" s="1" vm="85">
        <f ca="1"/>
        <v>267.35000000000002</v>
      </c>
      <c r="C16" s="2">
        <f t="shared" ca="1" si="0"/>
        <v>-9.75874322049749E-2</v>
      </c>
      <c r="D16" s="1" vm="86">
        <f ca="1"/>
        <v>177.23</v>
      </c>
      <c r="E16" s="2">
        <f t="shared" ca="1" si="1"/>
        <v>1.8224905490041188E-2</v>
      </c>
      <c r="F16" s="1" vm="87">
        <f ca="1"/>
        <v>118.36</v>
      </c>
      <c r="G16" s="2">
        <f t="shared" ca="1" si="2"/>
        <v>-4.1061169313957424E-2</v>
      </c>
      <c r="H16" s="1" vm="88">
        <f ca="1"/>
        <v>44.29</v>
      </c>
      <c r="I16" s="2">
        <f t="shared" ca="1" si="3"/>
        <v>-4.9221043124858865E-2</v>
      </c>
      <c r="J16" s="1" vm="89">
        <f ca="1"/>
        <v>117.72</v>
      </c>
      <c r="K16" s="2">
        <f t="shared" ca="1" si="4"/>
        <v>-0.10142711518858305</v>
      </c>
      <c r="L16" s="1" vm="90">
        <v>4530.41</v>
      </c>
      <c r="M16" s="2">
        <f t="shared" si="5"/>
        <v>-8.7956719149039353E-2</v>
      </c>
    </row>
    <row r="17" spans="1:13" x14ac:dyDescent="0.25">
      <c r="A17" s="3">
        <v>44652</v>
      </c>
      <c r="B17" s="1" vm="91">
        <f ca="1"/>
        <v>241.26</v>
      </c>
      <c r="C17" s="2">
        <f t="shared" ca="1" si="0"/>
        <v>-2.8019563955898219E-2</v>
      </c>
      <c r="D17" s="1" vm="92">
        <f ca="1"/>
        <v>180.46</v>
      </c>
      <c r="E17" s="2">
        <f t="shared" ca="1" si="1"/>
        <v>-5.1534966197496201E-3</v>
      </c>
      <c r="F17" s="1" vm="93">
        <f ca="1"/>
        <v>113.5</v>
      </c>
      <c r="G17" s="2">
        <f t="shared" ca="1" si="2"/>
        <v>3.4889867841409572E-2</v>
      </c>
      <c r="H17" s="1" vm="94">
        <f ca="1"/>
        <v>42.11</v>
      </c>
      <c r="I17" s="2">
        <f t="shared" ca="1" si="3"/>
        <v>-2.6122061268107344E-2</v>
      </c>
      <c r="J17" s="1" vm="95">
        <f ca="1"/>
        <v>105.78</v>
      </c>
      <c r="K17" s="2">
        <f t="shared" ca="1" si="4"/>
        <v>-4.6606163736056083E-2</v>
      </c>
      <c r="L17" s="1" vm="96">
        <v>4131.93</v>
      </c>
      <c r="M17" s="2">
        <f t="shared" si="5"/>
        <v>5.3243883608722342E-5</v>
      </c>
    </row>
    <row r="18" spans="1:13" x14ac:dyDescent="0.25">
      <c r="A18" s="3">
        <v>44682</v>
      </c>
      <c r="B18" s="1" vm="97">
        <f ca="1"/>
        <v>234.5</v>
      </c>
      <c r="C18" s="2">
        <f t="shared" ca="1" si="0"/>
        <v>-0.15168443496801698</v>
      </c>
      <c r="D18" s="1" vm="98">
        <f ca="1"/>
        <v>179.53</v>
      </c>
      <c r="E18" s="2">
        <f t="shared" ca="1" si="1"/>
        <v>-1.1251601403665212E-2</v>
      </c>
      <c r="F18" s="1" vm="99">
        <f ca="1"/>
        <v>117.46</v>
      </c>
      <c r="G18" s="2">
        <f t="shared" ca="1" si="2"/>
        <v>-7.500425676826139E-2</v>
      </c>
      <c r="H18" s="1" vm="100">
        <f ca="1"/>
        <v>41.01</v>
      </c>
      <c r="I18" s="2">
        <f t="shared" ca="1" si="3"/>
        <v>-9.1197268958790434E-2</v>
      </c>
      <c r="J18" s="1" vm="101">
        <f ca="1"/>
        <v>100.85</v>
      </c>
      <c r="K18" s="2">
        <f t="shared" ca="1" si="4"/>
        <v>-5.7114526524541298E-2</v>
      </c>
      <c r="L18" s="1" vm="102">
        <v>4132.1499999999996</v>
      </c>
      <c r="M18" s="2">
        <f t="shared" si="5"/>
        <v>-8.3919993223866451E-2</v>
      </c>
    </row>
    <row r="19" spans="1:13" x14ac:dyDescent="0.25">
      <c r="A19" s="3">
        <v>44713</v>
      </c>
      <c r="B19" s="1" vm="103">
        <f ca="1"/>
        <v>198.93</v>
      </c>
      <c r="C19" s="2">
        <f t="shared" ca="1" si="0"/>
        <v>7.9525461217513582E-2</v>
      </c>
      <c r="D19" s="1" vm="104">
        <f ca="1"/>
        <v>177.51</v>
      </c>
      <c r="E19" s="2">
        <f t="shared" ca="1" si="1"/>
        <v>-1.6844121457945893E-2</v>
      </c>
      <c r="F19" s="1" vm="105">
        <f ca="1"/>
        <v>108.65</v>
      </c>
      <c r="G19" s="2">
        <f t="shared" ca="1" si="2"/>
        <v>1.7487344684767869E-3</v>
      </c>
      <c r="H19" s="1" vm="106">
        <f ca="1"/>
        <v>37.270000000000003</v>
      </c>
      <c r="I19" s="2">
        <f t="shared" ca="1" si="3"/>
        <v>0.10142205527233683</v>
      </c>
      <c r="J19" s="1" vm="107">
        <f ca="1"/>
        <v>95.09</v>
      </c>
      <c r="K19" s="2">
        <f t="shared" ca="1" si="4"/>
        <v>5.7314123461983391E-2</v>
      </c>
      <c r="L19" s="1" vm="108">
        <v>3785.38</v>
      </c>
      <c r="M19" s="2">
        <f t="shared" si="5"/>
        <v>9.1116347632205885E-2</v>
      </c>
    </row>
    <row r="20" spans="1:13" x14ac:dyDescent="0.25">
      <c r="A20" s="3">
        <v>44743</v>
      </c>
      <c r="B20" s="1" vm="109">
        <f ca="1"/>
        <v>214.75</v>
      </c>
      <c r="C20" s="2">
        <f t="shared" ca="1" si="0"/>
        <v>-4.4470314318975634E-2</v>
      </c>
      <c r="D20" s="1" vm="110">
        <f ca="1"/>
        <v>174.52</v>
      </c>
      <c r="E20" s="2">
        <f t="shared" ca="1" si="1"/>
        <v>-7.552143020857216E-2</v>
      </c>
      <c r="F20" s="1" vm="111">
        <f ca="1"/>
        <v>108.84</v>
      </c>
      <c r="G20" s="2">
        <f t="shared" ca="1" si="2"/>
        <v>-5.6872473355384034E-2</v>
      </c>
      <c r="H20" s="1" vm="112">
        <f ca="1"/>
        <v>41.05</v>
      </c>
      <c r="I20" s="2">
        <f t="shared" ca="1" si="3"/>
        <v>-1.8026796589524885E-2</v>
      </c>
      <c r="J20" s="1" vm="113">
        <f ca="1"/>
        <v>100.54</v>
      </c>
      <c r="K20" s="2">
        <f t="shared" ca="1" si="4"/>
        <v>-0.10383926795305365</v>
      </c>
      <c r="L20" s="1" vm="114">
        <v>4130.29</v>
      </c>
      <c r="M20" s="2">
        <f t="shared" si="5"/>
        <v>-4.2440119216810457E-2</v>
      </c>
    </row>
    <row r="21" spans="1:13" x14ac:dyDescent="0.25">
      <c r="A21" s="3">
        <v>44774</v>
      </c>
      <c r="B21" s="1" vm="115">
        <f ca="1"/>
        <v>205.2</v>
      </c>
      <c r="C21" s="2">
        <f t="shared" ca="1" si="0"/>
        <v>-1.2962962962962954E-2</v>
      </c>
      <c r="D21" s="1" vm="116">
        <f ca="1"/>
        <v>161.34</v>
      </c>
      <c r="E21" s="2">
        <f t="shared" ca="1" si="1"/>
        <v>1.2520143795710981E-2</v>
      </c>
      <c r="F21" s="1" vm="117">
        <f ca="1"/>
        <v>102.65</v>
      </c>
      <c r="G21" s="2">
        <f t="shared" ca="1" si="2"/>
        <v>-5.7379444715051187E-2</v>
      </c>
      <c r="H21" s="1" vm="118">
        <f ca="1"/>
        <v>40.31</v>
      </c>
      <c r="I21" s="2">
        <f t="shared" ca="1" si="3"/>
        <v>-3.9196229223517842E-2</v>
      </c>
      <c r="J21" s="1" vm="119">
        <f ca="1"/>
        <v>90.1</v>
      </c>
      <c r="K21" s="2">
        <f t="shared" ca="1" si="4"/>
        <v>-8.2907880133185397E-2</v>
      </c>
      <c r="L21" s="1" vm="120">
        <v>3955</v>
      </c>
      <c r="M21" s="2">
        <f t="shared" si="5"/>
        <v>-9.3395701643489315E-2</v>
      </c>
    </row>
    <row r="22" spans="1:13" x14ac:dyDescent="0.25">
      <c r="A22" s="3">
        <v>44805</v>
      </c>
      <c r="B22" s="1" vm="121">
        <f ca="1"/>
        <v>202.54</v>
      </c>
      <c r="C22" s="2">
        <f t="shared" ca="1" si="0"/>
        <v>0.13182581218524736</v>
      </c>
      <c r="D22" s="1" vm="122">
        <f ca="1"/>
        <v>163.36000000000001</v>
      </c>
      <c r="E22" s="2">
        <f t="shared" ca="1" si="1"/>
        <v>6.4948579823702168E-2</v>
      </c>
      <c r="F22" s="1" vm="123">
        <f ca="1"/>
        <v>96.76</v>
      </c>
      <c r="G22" s="2">
        <f t="shared" ca="1" si="2"/>
        <v>2.2529971062422494E-2</v>
      </c>
      <c r="H22" s="1" vm="124">
        <f ca="1"/>
        <v>38.729999999999997</v>
      </c>
      <c r="I22" s="2">
        <f t="shared" ca="1" si="3"/>
        <v>0.11309062742060427</v>
      </c>
      <c r="J22" s="1" vm="125">
        <f ca="1"/>
        <v>82.63</v>
      </c>
      <c r="K22" s="2">
        <f t="shared" ca="1" si="4"/>
        <v>-0.12344184920730961</v>
      </c>
      <c r="L22" s="1" vm="126">
        <v>3585.62</v>
      </c>
      <c r="M22" s="2">
        <f t="shared" si="5"/>
        <v>7.9863454576893256E-2</v>
      </c>
    </row>
    <row r="23" spans="1:13" x14ac:dyDescent="0.25">
      <c r="A23" s="3">
        <v>44835</v>
      </c>
      <c r="B23" s="1" vm="127">
        <f ca="1"/>
        <v>229.24</v>
      </c>
      <c r="C23" s="2">
        <f t="shared" ca="1" si="0"/>
        <v>2.0284418077124222E-2</v>
      </c>
      <c r="D23" s="1" vm="128">
        <f ca="1"/>
        <v>173.97</v>
      </c>
      <c r="E23" s="2">
        <f t="shared" ca="1" si="1"/>
        <v>2.3164913490831829E-2</v>
      </c>
      <c r="F23" s="1" vm="129">
        <f ca="1"/>
        <v>98.94</v>
      </c>
      <c r="G23" s="2">
        <f t="shared" ca="1" si="2"/>
        <v>8.7325651910248547E-2</v>
      </c>
      <c r="H23" s="1" vm="130">
        <f ca="1"/>
        <v>43.11</v>
      </c>
      <c r="I23" s="2">
        <f t="shared" ca="1" si="3"/>
        <v>5.0104384133611735E-2</v>
      </c>
      <c r="J23" s="1" vm="131">
        <f ca="1"/>
        <v>72.430000000000007</v>
      </c>
      <c r="K23" s="2">
        <f t="shared" ca="1" si="4"/>
        <v>6.6547010907082704E-2</v>
      </c>
      <c r="L23" s="1" vm="132">
        <v>3871.98</v>
      </c>
      <c r="M23" s="2">
        <f t="shared" si="5"/>
        <v>5.3752860293699856E-2</v>
      </c>
    </row>
    <row r="24" spans="1:13" x14ac:dyDescent="0.25">
      <c r="A24" s="3">
        <v>44866</v>
      </c>
      <c r="B24" s="1" vm="133">
        <f ca="1"/>
        <v>233.89</v>
      </c>
      <c r="C24" s="2">
        <f t="shared" ca="1" si="0"/>
        <v>4.5320449784086669E-2</v>
      </c>
      <c r="D24" s="1" vm="134">
        <f ca="1"/>
        <v>178</v>
      </c>
      <c r="E24" s="2">
        <f t="shared" ca="1" si="1"/>
        <v>-7.5842696629213613E-3</v>
      </c>
      <c r="F24" s="1" vm="135">
        <f ca="1"/>
        <v>107.58</v>
      </c>
      <c r="G24" s="2">
        <f t="shared" ca="1" si="2"/>
        <v>2.0542851831195419E-2</v>
      </c>
      <c r="H24" s="1" vm="136">
        <f ca="1"/>
        <v>45.27</v>
      </c>
      <c r="I24" s="2">
        <f t="shared" ca="1" si="3"/>
        <v>2.2089684117517105E-2</v>
      </c>
      <c r="J24" s="1" vm="137">
        <f ca="1"/>
        <v>77.25</v>
      </c>
      <c r="K24" s="2">
        <f t="shared" ca="1" si="4"/>
        <v>-3.4174757281553392E-2</v>
      </c>
      <c r="L24" s="1" vm="138">
        <v>4080.11</v>
      </c>
      <c r="M24" s="2">
        <f t="shared" si="5"/>
        <v>-5.8971449299161094E-2</v>
      </c>
    </row>
    <row r="25" spans="1:13" x14ac:dyDescent="0.25">
      <c r="A25" s="3">
        <v>44896</v>
      </c>
      <c r="B25" s="1" vm="139">
        <f ca="1"/>
        <v>244.49</v>
      </c>
      <c r="C25" s="2">
        <f t="shared" ca="1" si="0"/>
        <v>3.8120168514049535E-2</v>
      </c>
      <c r="D25" s="1" vm="140">
        <f ca="1"/>
        <v>176.65</v>
      </c>
      <c r="E25" s="2">
        <f t="shared" ca="1" si="1"/>
        <v>-7.4893857911123796E-2</v>
      </c>
      <c r="F25" s="1" vm="141">
        <f ca="1"/>
        <v>109.79</v>
      </c>
      <c r="G25" s="2">
        <f t="shared" ca="1" si="2"/>
        <v>6.9223062209671227E-3</v>
      </c>
      <c r="H25" s="1" vm="142">
        <f ca="1"/>
        <v>46.27</v>
      </c>
      <c r="I25" s="2">
        <f t="shared" ca="1" si="3"/>
        <v>-4.3224551545284484E-4</v>
      </c>
      <c r="J25" s="1" vm="143">
        <f ca="1"/>
        <v>74.61</v>
      </c>
      <c r="K25" s="2">
        <f t="shared" ca="1" si="4"/>
        <v>2.8012330786757911E-2</v>
      </c>
      <c r="L25" s="1" vm="144">
        <v>3839.5</v>
      </c>
      <c r="M25" s="2">
        <f t="shared" si="5"/>
        <v>6.1752832400052027E-2</v>
      </c>
    </row>
    <row r="26" spans="1:13" x14ac:dyDescent="0.25">
      <c r="A26" s="3">
        <v>44927</v>
      </c>
      <c r="B26" s="1" vm="145">
        <f ca="1"/>
        <v>253.81</v>
      </c>
      <c r="C26" s="2">
        <f t="shared" ca="1" si="0"/>
        <v>3.5735392616524253E-2</v>
      </c>
      <c r="D26" s="1" vm="146">
        <f ca="1"/>
        <v>163.41999999999999</v>
      </c>
      <c r="E26" s="2">
        <f t="shared" ca="1" si="1"/>
        <v>-6.2171092889487189E-2</v>
      </c>
      <c r="F26" s="1" vm="147">
        <f ca="1"/>
        <v>110.55</v>
      </c>
      <c r="G26" s="2">
        <f t="shared" ca="1" si="2"/>
        <v>-7.987336047037541E-2</v>
      </c>
      <c r="H26" s="1" vm="148">
        <f ca="1"/>
        <v>46.25</v>
      </c>
      <c r="I26" s="2">
        <f t="shared" ca="1" si="3"/>
        <v>1.0162162162162147E-2</v>
      </c>
      <c r="J26" s="1" vm="149">
        <f ca="1"/>
        <v>76.7</v>
      </c>
      <c r="K26" s="2">
        <f t="shared" ca="1" si="4"/>
        <v>4.8761408083441982E-2</v>
      </c>
      <c r="L26" s="1" vm="150">
        <v>4076.6</v>
      </c>
      <c r="M26" s="2">
        <f t="shared" si="5"/>
        <v>-2.6112446646715304E-2</v>
      </c>
    </row>
    <row r="27" spans="1:13" x14ac:dyDescent="0.25">
      <c r="A27" s="3">
        <v>44958</v>
      </c>
      <c r="B27" s="1" vm="151">
        <f ca="1"/>
        <v>262.88</v>
      </c>
      <c r="C27" s="2">
        <f t="shared" ca="1" si="0"/>
        <v>8.5932744978697517E-2</v>
      </c>
      <c r="D27" s="1" vm="152">
        <f ca="1"/>
        <v>153.26</v>
      </c>
      <c r="E27" s="2">
        <f t="shared" ca="1" si="1"/>
        <v>1.1353255904998028E-2</v>
      </c>
      <c r="F27" s="1" vm="153">
        <f ca="1"/>
        <v>101.72</v>
      </c>
      <c r="G27" s="2">
        <f t="shared" ca="1" si="2"/>
        <v>-4.5222178529294998E-3</v>
      </c>
      <c r="H27" s="1" vm="154">
        <f ca="1"/>
        <v>46.72</v>
      </c>
      <c r="I27" s="2">
        <f t="shared" ca="1" si="3"/>
        <v>7.0847602739726012E-2</v>
      </c>
      <c r="J27" s="1" vm="155">
        <f ca="1"/>
        <v>80.44</v>
      </c>
      <c r="K27" s="2">
        <f t="shared" ca="1" si="4"/>
        <v>2.8468423669816056E-2</v>
      </c>
      <c r="L27" s="1" vm="156">
        <v>3970.15</v>
      </c>
      <c r="M27" s="2">
        <f t="shared" si="5"/>
        <v>3.5051572358727023E-2</v>
      </c>
    </row>
    <row r="28" spans="1:13" x14ac:dyDescent="0.25">
      <c r="A28" s="3">
        <v>44986</v>
      </c>
      <c r="B28" s="1" vm="157">
        <f ca="1"/>
        <v>285.47000000000003</v>
      </c>
      <c r="C28" s="2">
        <f t="shared" ca="1" si="0"/>
        <v>4.9672469961817178E-2</v>
      </c>
      <c r="D28" s="1" vm="158">
        <f ca="1"/>
        <v>155</v>
      </c>
      <c r="E28" s="2">
        <f t="shared" ca="1" si="1"/>
        <v>5.6129032258064537E-2</v>
      </c>
      <c r="F28" s="1" vm="159">
        <f ca="1"/>
        <v>101.26</v>
      </c>
      <c r="G28" s="2">
        <f t="shared" ca="1" si="2"/>
        <v>9.095397985384146E-2</v>
      </c>
      <c r="H28" s="1" vm="160">
        <f ca="1"/>
        <v>50.03</v>
      </c>
      <c r="I28" s="2">
        <f t="shared" ca="1" si="3"/>
        <v>4.1774935038976446E-2</v>
      </c>
      <c r="J28" s="1" vm="161">
        <f ca="1"/>
        <v>82.73</v>
      </c>
      <c r="K28" s="2">
        <f t="shared" ca="1" si="4"/>
        <v>6.3459446391877172E-2</v>
      </c>
      <c r="L28" s="1" vm="162">
        <v>4109.3100000000004</v>
      </c>
      <c r="M28" s="2">
        <f t="shared" si="5"/>
        <v>1.464236088297044E-2</v>
      </c>
    </row>
    <row r="29" spans="1:13" x14ac:dyDescent="0.25">
      <c r="A29" s="3">
        <v>45017</v>
      </c>
      <c r="B29" s="1" vm="163">
        <f ca="1"/>
        <v>299.64999999999998</v>
      </c>
      <c r="C29" s="2">
        <f t="shared" ca="1" si="0"/>
        <v>-8.0327048222926689E-2</v>
      </c>
      <c r="D29" s="1" vm="164">
        <f ca="1"/>
        <v>163.69999999999999</v>
      </c>
      <c r="E29" s="2">
        <f t="shared" ca="1" si="1"/>
        <v>-5.277947464874766E-2</v>
      </c>
      <c r="F29" s="1" vm="165">
        <f ca="1"/>
        <v>110.47</v>
      </c>
      <c r="G29" s="2">
        <f t="shared" ca="1" si="2"/>
        <v>-7.6672399746537501E-2</v>
      </c>
      <c r="H29" s="1" vm="166">
        <f ca="1"/>
        <v>52.12</v>
      </c>
      <c r="I29" s="2">
        <f t="shared" ca="1" si="3"/>
        <v>-1.2279355333844943E-2</v>
      </c>
      <c r="J29" s="1" vm="167">
        <f ca="1"/>
        <v>87.98</v>
      </c>
      <c r="K29" s="2">
        <f t="shared" ca="1" si="4"/>
        <v>-4.2623323482609665E-2</v>
      </c>
      <c r="L29" s="1" vm="168">
        <v>4169.4799999999996</v>
      </c>
      <c r="M29" s="2">
        <f t="shared" si="5"/>
        <v>2.4823239348792381E-3</v>
      </c>
    </row>
    <row r="30" spans="1:13" x14ac:dyDescent="0.25">
      <c r="A30" s="3">
        <v>45047</v>
      </c>
      <c r="B30" s="1" vm="169">
        <f ca="1"/>
        <v>275.58</v>
      </c>
      <c r="C30" s="2">
        <f t="shared" ca="1" si="0"/>
        <v>0.10708324261557434</v>
      </c>
      <c r="D30" s="1" vm="170">
        <f ca="1"/>
        <v>155.06</v>
      </c>
      <c r="E30" s="2">
        <f t="shared" ca="1" si="1"/>
        <v>6.7457758287114755E-2</v>
      </c>
      <c r="F30" s="1" vm="171">
        <f ca="1"/>
        <v>102</v>
      </c>
      <c r="G30" s="2">
        <f t="shared" ca="1" si="2"/>
        <v>6.8823529411764728E-2</v>
      </c>
      <c r="H30" s="1" vm="172">
        <f ca="1"/>
        <v>51.48</v>
      </c>
      <c r="I30" s="2">
        <f t="shared" ca="1" si="3"/>
        <v>5.0699300699300842E-2</v>
      </c>
      <c r="J30" s="1" vm="173">
        <f ca="1"/>
        <v>84.23</v>
      </c>
      <c r="K30" s="2">
        <f t="shared" ca="1" si="4"/>
        <v>0.11990977086548726</v>
      </c>
      <c r="L30" s="1" vm="174">
        <v>4179.83</v>
      </c>
      <c r="M30" s="2">
        <f t="shared" si="5"/>
        <v>6.4727512841431301E-2</v>
      </c>
    </row>
    <row r="31" spans="1:13" x14ac:dyDescent="0.25">
      <c r="A31" s="3">
        <v>45078</v>
      </c>
      <c r="B31" s="1" vm="175">
        <f ca="1"/>
        <v>305.08999999999997</v>
      </c>
      <c r="C31" s="2">
        <f t="shared" ca="1" si="0"/>
        <v>-7.1060998393916441E-2</v>
      </c>
      <c r="D31" s="1" vm="176">
        <f ca="1"/>
        <v>165.52</v>
      </c>
      <c r="E31" s="2">
        <f t="shared" ca="1" si="1"/>
        <v>1.2143547607539773E-2</v>
      </c>
      <c r="F31" s="1" vm="177">
        <f ca="1"/>
        <v>109.02</v>
      </c>
      <c r="G31" s="2">
        <f t="shared" ca="1" si="2"/>
        <v>2.1188772702256387E-2</v>
      </c>
      <c r="H31" s="1" vm="178">
        <f ca="1"/>
        <v>54.09</v>
      </c>
      <c r="I31" s="2">
        <f t="shared" ca="1" si="3"/>
        <v>-4.1412460713625476E-2</v>
      </c>
      <c r="J31" s="1" vm="179">
        <f ca="1"/>
        <v>94.33</v>
      </c>
      <c r="K31" s="2">
        <f t="shared" ca="1" si="4"/>
        <v>-0.12996925686420024</v>
      </c>
      <c r="L31" s="1" vm="180">
        <v>4450.38</v>
      </c>
      <c r="M31" s="2">
        <f t="shared" si="5"/>
        <v>3.1138913980379268E-2</v>
      </c>
    </row>
    <row r="32" spans="1:13" x14ac:dyDescent="0.25">
      <c r="A32" s="3">
        <v>45108</v>
      </c>
      <c r="B32" s="1" vm="181">
        <f ca="1"/>
        <v>283.41000000000003</v>
      </c>
      <c r="C32" s="2">
        <f t="shared" ca="1" si="0"/>
        <v>4.9398398080513495E-4</v>
      </c>
      <c r="D32" s="1" vm="182">
        <f ca="1"/>
        <v>167.53</v>
      </c>
      <c r="E32" s="2">
        <f t="shared" ca="1" si="1"/>
        <v>-3.4919118963767648E-2</v>
      </c>
      <c r="F32" s="1" vm="183">
        <f ca="1"/>
        <v>111.33</v>
      </c>
      <c r="G32" s="2">
        <f t="shared" ca="1" si="2"/>
        <v>-7.5720829964968983E-2</v>
      </c>
      <c r="H32" s="1" vm="184">
        <f ca="1"/>
        <v>51.85</v>
      </c>
      <c r="I32" s="2">
        <f t="shared" ca="1" si="3"/>
        <v>4.0308582449373187E-2</v>
      </c>
      <c r="J32" s="1" vm="185">
        <f ca="1"/>
        <v>82.07</v>
      </c>
      <c r="K32" s="2">
        <f t="shared" ca="1" si="4"/>
        <v>-6.8234434019739165E-2</v>
      </c>
      <c r="L32" s="1" vm="186">
        <v>4588.96</v>
      </c>
      <c r="M32" s="2">
        <f t="shared" si="5"/>
        <v>-1.771643248143373E-2</v>
      </c>
    </row>
    <row r="33" spans="1:13" x14ac:dyDescent="0.25">
      <c r="A33" s="3">
        <v>45139</v>
      </c>
      <c r="B33" s="1" vm="187">
        <f ca="1"/>
        <v>283.55</v>
      </c>
      <c r="C33" s="2">
        <f t="shared" ca="1" si="0"/>
        <v>-3.6254628813260581E-2</v>
      </c>
      <c r="D33" s="1" vm="188">
        <f ca="1"/>
        <v>161.68</v>
      </c>
      <c r="E33" s="2">
        <f t="shared" ca="1" si="1"/>
        <v>-3.667738743196447E-2</v>
      </c>
      <c r="F33" s="1" vm="189">
        <f ca="1"/>
        <v>102.9</v>
      </c>
      <c r="G33" s="2">
        <f t="shared" ca="1" si="2"/>
        <v>-5.8794946550048688E-2</v>
      </c>
      <c r="H33" s="1" vm="190">
        <f ca="1"/>
        <v>53.94</v>
      </c>
      <c r="I33" s="2">
        <f t="shared" ca="1" si="3"/>
        <v>-2.1134593993325956E-2</v>
      </c>
      <c r="J33" s="1" vm="191">
        <f ca="1"/>
        <v>76.47</v>
      </c>
      <c r="K33" s="2">
        <f t="shared" ca="1" si="4"/>
        <v>-9.4023800183078321E-2</v>
      </c>
      <c r="L33" s="1" vm="192">
        <v>4507.66</v>
      </c>
      <c r="M33" s="2">
        <f t="shared" si="5"/>
        <v>-4.871929116215501E-2</v>
      </c>
    </row>
    <row r="34" spans="1:13" x14ac:dyDescent="0.25">
      <c r="A34" s="3">
        <v>45170</v>
      </c>
      <c r="B34" s="1" vm="193">
        <f ca="1"/>
        <v>273.27</v>
      </c>
      <c r="C34" s="2">
        <f t="shared" ca="1" si="0"/>
        <v>-1.1161122699161807E-2</v>
      </c>
      <c r="D34" s="1" vm="194">
        <f ca="1"/>
        <v>155.75</v>
      </c>
      <c r="E34" s="2">
        <f t="shared" ca="1" si="1"/>
        <v>-4.7576243980738342E-2</v>
      </c>
      <c r="F34" s="1" vm="195">
        <f ca="1"/>
        <v>96.85</v>
      </c>
      <c r="G34" s="2">
        <f t="shared" ca="1" si="2"/>
        <v>-2.3748064016520409E-2</v>
      </c>
      <c r="H34" s="1" vm="196">
        <f ca="1"/>
        <v>52.8</v>
      </c>
      <c r="I34" s="2">
        <f t="shared" ca="1" si="3"/>
        <v>-3.0492424242424265E-2</v>
      </c>
      <c r="J34" s="1" vm="197">
        <f ca="1"/>
        <v>69.28</v>
      </c>
      <c r="K34" s="2">
        <f t="shared" ca="1" si="4"/>
        <v>-8.0254041570438805E-2</v>
      </c>
      <c r="L34" s="1" vm="198">
        <v>4288.05</v>
      </c>
      <c r="M34" s="2">
        <f t="shared" si="5"/>
        <v>-2.1979687736850106E-2</v>
      </c>
    </row>
    <row r="35" spans="1:13" x14ac:dyDescent="0.25">
      <c r="A35" s="3">
        <v>45200</v>
      </c>
      <c r="B35" s="1" vm="199">
        <f ca="1"/>
        <v>270.22000000000003</v>
      </c>
      <c r="C35" s="2">
        <f t="shared" ca="1" si="0"/>
        <v>9.6624972244837348E-2</v>
      </c>
      <c r="D35" s="1" vm="200">
        <f ca="1"/>
        <v>148.34</v>
      </c>
      <c r="E35" s="2">
        <f t="shared" ca="1" si="1"/>
        <v>4.2604826749359503E-2</v>
      </c>
      <c r="F35" s="1" vm="201">
        <f ca="1"/>
        <v>94.55</v>
      </c>
      <c r="G35" s="2">
        <f t="shared" ca="1" si="2"/>
        <v>0.10301427815970388</v>
      </c>
      <c r="H35" s="1" vm="202">
        <f ca="1"/>
        <v>51.19</v>
      </c>
      <c r="I35" s="2">
        <f t="shared" ca="1" si="3"/>
        <v>9.1814807579605473E-2</v>
      </c>
      <c r="J35" s="1" vm="203">
        <f ca="1"/>
        <v>63.72</v>
      </c>
      <c r="K35" s="2">
        <f t="shared" ca="1" si="4"/>
        <v>6.2617702448210855E-2</v>
      </c>
      <c r="L35" s="1" vm="204">
        <v>4193.8</v>
      </c>
      <c r="M35" s="2">
        <f t="shared" si="5"/>
        <v>8.9179264628737709E-2</v>
      </c>
    </row>
    <row r="36" spans="1:13" x14ac:dyDescent="0.25">
      <c r="A36" s="3">
        <v>45231</v>
      </c>
      <c r="B36" s="1" vm="205">
        <f ca="1"/>
        <v>296.33</v>
      </c>
      <c r="C36" s="2">
        <f t="shared" ca="1" si="0"/>
        <v>1.0562548510106851E-2</v>
      </c>
      <c r="D36" s="1" vm="206">
        <f ca="1"/>
        <v>154.66</v>
      </c>
      <c r="E36" s="2">
        <f t="shared" ca="1" si="1"/>
        <v>1.3448855554118788E-2</v>
      </c>
      <c r="F36" s="1" vm="207">
        <f ca="1"/>
        <v>104.29</v>
      </c>
      <c r="G36" s="2">
        <f t="shared" ca="1" si="2"/>
        <v>5.5422379902195562E-2</v>
      </c>
      <c r="H36" s="1" vm="208">
        <f ca="1"/>
        <v>55.89</v>
      </c>
      <c r="I36" s="2">
        <f t="shared" ca="1" si="3"/>
        <v>3.4353193773483559E-2</v>
      </c>
      <c r="J36" s="1" vm="209">
        <f ca="1"/>
        <v>67.709999999999994</v>
      </c>
      <c r="K36" s="2">
        <f t="shared" ca="1" si="4"/>
        <v>0.12612612612612617</v>
      </c>
      <c r="L36" s="1" vm="210">
        <v>4567.8</v>
      </c>
      <c r="M36" s="2">
        <f t="shared" si="5"/>
        <v>4.4229169403213753E-2</v>
      </c>
    </row>
    <row r="37" spans="1:13" x14ac:dyDescent="0.25">
      <c r="A37" s="3">
        <v>45261</v>
      </c>
      <c r="B37" s="1" vm="211">
        <f ca="1"/>
        <v>299.45999999999998</v>
      </c>
      <c r="C37" s="2">
        <f t="shared" ca="1" si="0"/>
        <v>0.12028317638415831</v>
      </c>
      <c r="D37" s="1" vm="212">
        <f ca="1"/>
        <v>156.74</v>
      </c>
      <c r="E37" s="2">
        <f t="shared" ca="1" si="1"/>
        <v>1.3780783463059887E-2</v>
      </c>
      <c r="F37" s="1" vm="213">
        <f ca="1"/>
        <v>110.07</v>
      </c>
      <c r="G37" s="2">
        <f t="shared" ca="1" si="2"/>
        <v>2.7982193149813872E-2</v>
      </c>
      <c r="H37" s="1" vm="214">
        <f ca="1"/>
        <v>57.81</v>
      </c>
      <c r="I37" s="2">
        <f t="shared" ca="1" si="3"/>
        <v>9.4274346998789005E-2</v>
      </c>
      <c r="J37" s="1" vm="215">
        <f ca="1"/>
        <v>76.25</v>
      </c>
      <c r="K37" s="2">
        <f t="shared" ca="1" si="4"/>
        <v>2.9114754098360729E-2</v>
      </c>
      <c r="L37" s="1" vm="216">
        <v>4769.83</v>
      </c>
      <c r="M37" s="2">
        <f t="shared" si="5"/>
        <v>1.5895744712075555E-2</v>
      </c>
    </row>
    <row r="38" spans="1:13" x14ac:dyDescent="0.25">
      <c r="A38" s="3">
        <v>45292</v>
      </c>
      <c r="B38" s="1" vm="217">
        <f ca="1"/>
        <v>335.48</v>
      </c>
      <c r="C38" s="2">
        <f t="shared" ca="1" si="0"/>
        <v>4.0509121259091341E-2</v>
      </c>
      <c r="D38" s="1" vm="218">
        <f ca="1"/>
        <v>158.9</v>
      </c>
      <c r="E38" s="2">
        <f t="shared" ca="1" si="1"/>
        <v>1.5607300188797968E-2</v>
      </c>
      <c r="F38" s="1" vm="219">
        <f ca="1"/>
        <v>113.15</v>
      </c>
      <c r="G38" s="2">
        <f t="shared" ca="1" si="2"/>
        <v>4.8519664162615994E-2</v>
      </c>
      <c r="H38" s="1" vm="220">
        <f ca="1"/>
        <v>63.26</v>
      </c>
      <c r="I38" s="2">
        <f t="shared" ca="1" si="3"/>
        <v>4.6632943408156713E-2</v>
      </c>
      <c r="J38" s="1" vm="221">
        <f ca="1"/>
        <v>78.47</v>
      </c>
      <c r="K38" s="2">
        <f t="shared" ca="1" si="4"/>
        <v>8.1559831782846981E-2</v>
      </c>
      <c r="L38" s="1" vm="222">
        <v>4845.6499999999996</v>
      </c>
      <c r="M38" s="2">
        <f t="shared" si="5"/>
        <v>5.1720615397315317E-2</v>
      </c>
    </row>
    <row r="39" spans="1:13" x14ac:dyDescent="0.25">
      <c r="A39" s="3">
        <v>45323</v>
      </c>
      <c r="B39" s="1" vm="223">
        <f ca="1"/>
        <v>349.07</v>
      </c>
      <c r="C39" s="2">
        <f t="shared" ca="1" si="0"/>
        <v>2.5209843297905987E-2</v>
      </c>
      <c r="D39" s="1" vm="224">
        <f ca="1"/>
        <v>161.38</v>
      </c>
      <c r="E39" s="2">
        <f t="shared" ca="1" si="1"/>
        <v>-1.976700954269428E-2</v>
      </c>
      <c r="F39" s="1" vm="225">
        <f ca="1"/>
        <v>118.64</v>
      </c>
      <c r="G39" s="2">
        <f t="shared" ca="1" si="2"/>
        <v>-4.1975724881995968E-2</v>
      </c>
      <c r="H39" s="1" vm="226">
        <f ca="1"/>
        <v>66.209999999999994</v>
      </c>
      <c r="I39" s="2">
        <f t="shared" ca="1" si="3"/>
        <v>3.4435885817852396E-2</v>
      </c>
      <c r="J39" s="1" vm="227">
        <f ca="1"/>
        <v>84.87</v>
      </c>
      <c r="K39" s="2">
        <f t="shared" ca="1" si="4"/>
        <v>0.12595734652998702</v>
      </c>
      <c r="L39" s="1" vm="228">
        <v>5096.2700000000004</v>
      </c>
      <c r="M39" s="2">
        <f t="shared" si="5"/>
        <v>3.1018764704381807E-2</v>
      </c>
    </row>
    <row r="40" spans="1:13" x14ac:dyDescent="0.25">
      <c r="A40" s="3">
        <v>45352</v>
      </c>
      <c r="B40" s="1" vm="229">
        <f ca="1"/>
        <v>357.87</v>
      </c>
      <c r="C40" s="2">
        <f t="shared" ca="1" si="0"/>
        <v>-5.9714421437952359E-2</v>
      </c>
      <c r="D40" s="1" vm="230">
        <f ca="1"/>
        <v>158.19</v>
      </c>
      <c r="E40" s="2">
        <f t="shared" ca="1" si="1"/>
        <v>-8.597256463746128E-2</v>
      </c>
      <c r="F40" s="1" vm="231">
        <f ca="1"/>
        <v>113.66</v>
      </c>
      <c r="G40" s="2">
        <f t="shared" ca="1" si="2"/>
        <v>-6.7657927151152597E-2</v>
      </c>
      <c r="H40" s="1" vm="232">
        <f ca="1"/>
        <v>68.489999999999995</v>
      </c>
      <c r="I40" s="2">
        <f t="shared" ca="1" si="3"/>
        <v>4.9350270112425321E-2</v>
      </c>
      <c r="J40" s="1" vm="233">
        <f ca="1"/>
        <v>95.56</v>
      </c>
      <c r="K40" s="2">
        <f t="shared" ca="1" si="4"/>
        <v>-0.11395981582251991</v>
      </c>
      <c r="L40" s="1" vm="234">
        <v>5254.35</v>
      </c>
      <c r="M40" s="2">
        <f t="shared" si="5"/>
        <v>-4.1615042774082567E-2</v>
      </c>
    </row>
    <row r="41" spans="1:13" x14ac:dyDescent="0.25">
      <c r="A41" s="3">
        <v>45383</v>
      </c>
      <c r="B41" s="1" vm="235">
        <f ca="1"/>
        <v>336.5</v>
      </c>
      <c r="C41" s="2">
        <f t="shared" ca="1" si="0"/>
        <v>1.3640416047548287E-2</v>
      </c>
      <c r="D41" s="1" vm="236">
        <f ca="1"/>
        <v>144.59</v>
      </c>
      <c r="E41" s="2">
        <f t="shared" ca="1" si="1"/>
        <v>1.4385503838439506E-2</v>
      </c>
      <c r="F41" s="1" vm="237">
        <f ca="1"/>
        <v>105.97</v>
      </c>
      <c r="G41" s="2">
        <f t="shared" ca="1" si="2"/>
        <v>-3.5670472775313766E-2</v>
      </c>
      <c r="H41" s="1" vm="238">
        <f ca="1"/>
        <v>71.87</v>
      </c>
      <c r="I41" s="2">
        <f t="shared" ca="1" si="3"/>
        <v>5.1481842215110429E-2</v>
      </c>
      <c r="J41" s="1" vm="239">
        <f ca="1"/>
        <v>84.67</v>
      </c>
      <c r="K41" s="2">
        <f t="shared" ca="1" si="4"/>
        <v>2.6219440179520381E-2</v>
      </c>
      <c r="L41" s="1" vm="240">
        <v>5035.6899999999996</v>
      </c>
      <c r="M41" s="2">
        <f t="shared" si="5"/>
        <v>4.8021224499522619E-2</v>
      </c>
    </row>
    <row r="42" spans="1:13" x14ac:dyDescent="0.25">
      <c r="A42" s="3">
        <v>45413</v>
      </c>
      <c r="B42" s="1" vm="241">
        <f ca="1"/>
        <v>341.09</v>
      </c>
      <c r="C42" s="2">
        <f t="shared" ca="1" si="0"/>
        <v>-2.4626931308451283E-3</v>
      </c>
      <c r="D42" s="1" vm="242">
        <f ca="1"/>
        <v>146.66999999999999</v>
      </c>
      <c r="E42" s="2">
        <f t="shared" ca="1" si="1"/>
        <v>-3.4771937001430997E-3</v>
      </c>
      <c r="F42" s="1" vm="243">
        <f ca="1"/>
        <v>102.19</v>
      </c>
      <c r="G42" s="2">
        <f t="shared" ca="1" si="2"/>
        <v>1.6831392504158993E-2</v>
      </c>
      <c r="H42" s="1" vm="244">
        <f ca="1"/>
        <v>75.569999999999993</v>
      </c>
      <c r="I42" s="2">
        <f t="shared" ca="1" si="3"/>
        <v>1.9055180627233215E-2</v>
      </c>
      <c r="J42" s="1" vm="245">
        <f ca="1"/>
        <v>86.89</v>
      </c>
      <c r="K42" s="2">
        <f t="shared" ca="1" si="4"/>
        <v>6.306824720911508E-2</v>
      </c>
      <c r="L42" vm="246">
        <v>5277.51</v>
      </c>
      <c r="M42" s="2">
        <f t="shared" si="5"/>
        <v>3.4669759034089864E-2</v>
      </c>
    </row>
    <row r="43" spans="1:13" x14ac:dyDescent="0.25">
      <c r="A43" s="3">
        <v>45444</v>
      </c>
      <c r="B43" s="1" vm="247">
        <f ca="1"/>
        <v>340.25</v>
      </c>
      <c r="C43" s="2">
        <f t="shared" ca="1" si="0"/>
        <v>-3.761939750183696E-2</v>
      </c>
      <c r="D43" s="1" vm="248">
        <f ca="1"/>
        <v>146.16</v>
      </c>
      <c r="E43" s="2">
        <f t="shared" ca="1" si="1"/>
        <v>7.9980842911877348E-2</v>
      </c>
      <c r="F43" s="1" vm="249">
        <f ca="1"/>
        <v>103.91</v>
      </c>
      <c r="G43" s="2">
        <f t="shared" ca="1" si="2"/>
        <v>1.9536137041670676E-2</v>
      </c>
      <c r="H43" s="1" vm="250">
        <f ca="1"/>
        <v>77.010000000000005</v>
      </c>
      <c r="I43" s="2">
        <f t="shared" ca="1" si="3"/>
        <v>-4.0644072198415926E-2</v>
      </c>
      <c r="J43" s="1" vm="251">
        <f ca="1"/>
        <v>92.37</v>
      </c>
      <c r="K43" s="2">
        <f t="shared" ca="1" si="4"/>
        <v>-0.31741907545739967</v>
      </c>
      <c r="L43" vm="252">
        <v>5460.48</v>
      </c>
      <c r="M43" s="2">
        <f t="shared" si="5"/>
        <v>1.1321349038912354E-2</v>
      </c>
    </row>
    <row r="44" spans="1:13" x14ac:dyDescent="0.25">
      <c r="A44" s="3">
        <v>45474</v>
      </c>
      <c r="B44" s="1" vm="253">
        <f ca="1"/>
        <v>327.45</v>
      </c>
      <c r="C44" s="2">
        <f t="shared" ca="1" si="0"/>
        <v>0.10068712780577194</v>
      </c>
      <c r="D44" s="1" vm="254">
        <f ca="1"/>
        <v>157.85</v>
      </c>
      <c r="E44" s="2">
        <f t="shared" ca="1" si="1"/>
        <v>5.0744377573646027E-2</v>
      </c>
      <c r="F44" s="1" vm="255">
        <f ca="1"/>
        <v>105.94</v>
      </c>
      <c r="G44" s="2">
        <f t="shared" ca="1" si="2"/>
        <v>6.9190107608080087E-2</v>
      </c>
      <c r="H44" s="1" vm="256">
        <f ca="1"/>
        <v>73.88</v>
      </c>
      <c r="I44" s="2">
        <f t="shared" ca="1" si="3"/>
        <v>0.10706551164049816</v>
      </c>
      <c r="J44" s="1" vm="257">
        <f ca="1"/>
        <v>63.05</v>
      </c>
      <c r="K44" s="2">
        <f t="shared" ca="1" si="4"/>
        <v>0.10959555908009522</v>
      </c>
      <c r="L44" vm="258">
        <v>5522.3</v>
      </c>
      <c r="M44" s="2">
        <f t="shared" si="5"/>
        <v>2.2834688445031892E-2</v>
      </c>
    </row>
    <row r="45" spans="1:13" x14ac:dyDescent="0.25">
      <c r="A45" s="3">
        <v>45505</v>
      </c>
      <c r="B45" s="1" vm="259">
        <f ca="1"/>
        <v>360.42</v>
      </c>
      <c r="C45" s="2">
        <f t="shared" ca="1" si="0"/>
        <v>2.330614283336141E-3</v>
      </c>
      <c r="D45" s="1" vm="260">
        <f ca="1"/>
        <v>165.86</v>
      </c>
      <c r="E45" s="2">
        <f t="shared" ca="1" si="1"/>
        <v>-2.2910888701314414E-2</v>
      </c>
      <c r="F45" s="1" vm="261">
        <f ca="1"/>
        <v>113.27</v>
      </c>
      <c r="G45" s="2">
        <f t="shared" ca="1" si="2"/>
        <v>6.5330625938024856E-3</v>
      </c>
      <c r="H45" s="1" vm="262">
        <f ca="1"/>
        <v>81.790000000000006</v>
      </c>
      <c r="I45" s="2">
        <f t="shared" ca="1" si="3"/>
        <v>2.4575131434160458E-2</v>
      </c>
      <c r="J45" s="1" vm="263">
        <f ca="1"/>
        <v>69.959999999999994</v>
      </c>
      <c r="K45" s="2">
        <f t="shared" ca="1" si="4"/>
        <v>-5.6746712407089728E-2</v>
      </c>
      <c r="L45" vm="264">
        <v>5648.4</v>
      </c>
      <c r="M45" s="2">
        <f t="shared" si="5"/>
        <v>2.0196869910062976E-2</v>
      </c>
    </row>
    <row r="46" spans="1:13" x14ac:dyDescent="0.25">
      <c r="A46" s="3">
        <v>45536</v>
      </c>
      <c r="B46" s="1" vm="265">
        <f ca="1"/>
        <v>361.26</v>
      </c>
      <c r="C46" s="2">
        <f t="shared" ca="1" si="0"/>
        <v>-1.3785085533964514E-2</v>
      </c>
      <c r="D46" s="1" vm="266">
        <f ca="1"/>
        <v>162.06</v>
      </c>
      <c r="E46" s="2">
        <f t="shared" ca="1" si="1"/>
        <v>-1.3575219054671073E-2</v>
      </c>
      <c r="F46" s="1" vm="267">
        <f ca="1"/>
        <v>114.01</v>
      </c>
      <c r="G46" s="2">
        <f t="shared" ca="1" si="2"/>
        <v>-5.6135426716954484E-3</v>
      </c>
      <c r="H46" s="1" vm="268">
        <f ca="1"/>
        <v>83.8</v>
      </c>
      <c r="I46" s="2">
        <f t="shared" ca="1" si="3"/>
        <v>2.625298329355541E-3</v>
      </c>
      <c r="J46" s="1" vm="269">
        <f ca="1"/>
        <v>65.989999999999995</v>
      </c>
      <c r="K46" s="2">
        <f t="shared" ca="1" si="4"/>
        <v>1.5456887407182984E-2</v>
      </c>
      <c r="L46" vm="270">
        <v>5762.48</v>
      </c>
      <c r="M46" s="2">
        <f t="shared" si="5"/>
        <v>-9.8967805528175079E-3</v>
      </c>
    </row>
    <row r="47" spans="1:13" x14ac:dyDescent="0.25">
      <c r="A47" s="3">
        <v>45566</v>
      </c>
      <c r="B47" s="1" vm="271">
        <f ca="1"/>
        <v>356.28</v>
      </c>
      <c r="C47" s="2">
        <f t="shared" ca="1" si="0"/>
        <v>0.10067924104636794</v>
      </c>
      <c r="D47" s="1" vm="272">
        <f ca="1"/>
        <v>159.86000000000001</v>
      </c>
      <c r="E47" s="2">
        <f t="shared" ca="1" si="1"/>
        <v>-3.0339046665832758E-2</v>
      </c>
      <c r="F47" s="1" vm="273">
        <f ca="1"/>
        <v>113.37</v>
      </c>
      <c r="G47" s="2">
        <f t="shared" ca="1" si="2"/>
        <v>4.7631648584281372E-2</v>
      </c>
      <c r="H47" s="1" vm="274">
        <f ca="1"/>
        <v>84.02</v>
      </c>
      <c r="I47" s="2">
        <f t="shared" ca="1" si="3"/>
        <v>7.9028802666031961E-2</v>
      </c>
      <c r="J47" s="1" vm="275">
        <f ca="1"/>
        <v>67.010000000000005</v>
      </c>
      <c r="K47" s="2">
        <f t="shared" ca="1" si="4"/>
        <v>6.4766452768243443E-2</v>
      </c>
      <c r="L47" vm="276">
        <v>5705.45</v>
      </c>
      <c r="M47" s="2">
        <f t="shared" si="5"/>
        <v>5.7301352215863854E-2</v>
      </c>
    </row>
    <row r="48" spans="1:13" x14ac:dyDescent="0.25">
      <c r="A48" s="3">
        <v>45597</v>
      </c>
      <c r="B48" s="1" vm="277">
        <f ca="1"/>
        <v>392.15</v>
      </c>
      <c r="C48" s="2">
        <f t="shared" ca="1" si="0"/>
        <v>-8.1856432487568465E-2</v>
      </c>
      <c r="D48" s="1" vm="278">
        <f ca="1"/>
        <v>155.01</v>
      </c>
      <c r="E48" s="2">
        <f t="shared" ca="1" si="1"/>
        <v>-6.7027933681697904E-2</v>
      </c>
      <c r="F48" s="1" vm="279">
        <f ca="1"/>
        <v>118.77</v>
      </c>
      <c r="G48" s="2">
        <f t="shared" ca="1" si="2"/>
        <v>-4.7655131767281311E-2</v>
      </c>
      <c r="H48" s="1" vm="280">
        <f ca="1"/>
        <v>90.66</v>
      </c>
      <c r="I48" s="2">
        <f t="shared" ca="1" si="3"/>
        <v>-1.478049856607111E-2</v>
      </c>
      <c r="J48" s="1" vm="281">
        <f ca="1"/>
        <v>71.349999999999994</v>
      </c>
      <c r="K48" s="2">
        <f t="shared" ca="1" si="4"/>
        <v>3.756131744919422E-2</v>
      </c>
      <c r="L48" vm="282">
        <v>6032.38</v>
      </c>
      <c r="M48" s="2">
        <f t="shared" si="5"/>
        <v>-2.4990136563014964E-2</v>
      </c>
    </row>
    <row r="49" spans="1:13" x14ac:dyDescent="0.25">
      <c r="A49" s="3">
        <v>45627</v>
      </c>
      <c r="B49" s="1" vm="283">
        <f ca="1"/>
        <v>360.05</v>
      </c>
      <c r="C49" s="2">
        <f t="shared" ca="1" si="0"/>
        <v>8.6765726982363622E-2</v>
      </c>
      <c r="D49" s="1" vm="284">
        <f ca="1"/>
        <v>144.62</v>
      </c>
      <c r="E49" s="2">
        <f t="shared" ca="1" si="1"/>
        <v>5.2067487207855034E-2</v>
      </c>
      <c r="F49" s="1" vm="285">
        <f ca="1"/>
        <v>113.11</v>
      </c>
      <c r="G49" s="2">
        <f t="shared" ca="1" si="2"/>
        <v>0.13102289806383172</v>
      </c>
      <c r="H49" s="1" vm="286">
        <f ca="1"/>
        <v>89.32</v>
      </c>
      <c r="I49" s="2">
        <f t="shared" ca="1" si="3"/>
        <v>0.14599193909538744</v>
      </c>
      <c r="J49" s="1" vm="287">
        <f ca="1"/>
        <v>74.03</v>
      </c>
      <c r="K49" s="2">
        <f t="shared" ca="1" si="4"/>
        <v>-2.1342698905848945E-2</v>
      </c>
      <c r="L49" vm="288">
        <v>5881.63</v>
      </c>
      <c r="M49" s="2">
        <f t="shared" si="5"/>
        <v>2.7016320305765618E-2</v>
      </c>
    </row>
    <row r="50" spans="1:13" x14ac:dyDescent="0.25">
      <c r="A50" s="3">
        <v>45658</v>
      </c>
      <c r="B50" s="1" vm="289">
        <f ca="1"/>
        <v>391.29</v>
      </c>
      <c r="C50" s="2">
        <f t="shared" ca="1" si="0"/>
        <v>-1.3033811239745563E-2</v>
      </c>
      <c r="D50" s="1" vm="290">
        <f ca="1"/>
        <v>152.15</v>
      </c>
      <c r="E50" s="2">
        <f t="shared" ca="1" si="1"/>
        <v>8.4587578047979006E-2</v>
      </c>
      <c r="F50" s="1" vm="291">
        <f ca="1"/>
        <v>127.93</v>
      </c>
      <c r="G50" s="2">
        <f t="shared" ca="1" si="2"/>
        <v>7.8793089971077812E-2</v>
      </c>
      <c r="H50" s="1" vm="292">
        <f ca="1"/>
        <v>102.36</v>
      </c>
      <c r="I50" s="2">
        <f t="shared" ca="1" si="3"/>
        <v>1.397030089878859E-2</v>
      </c>
      <c r="J50" s="1" vm="293">
        <f ca="1"/>
        <v>72.45</v>
      </c>
      <c r="K50" s="2">
        <f t="shared" ca="1" si="4"/>
        <v>-1.1456176673567908E-2</v>
      </c>
      <c r="L50" vm="294">
        <v>6040.53</v>
      </c>
      <c r="M50" s="2">
        <f t="shared" si="5"/>
        <v>-1.4242127760312417E-2</v>
      </c>
    </row>
    <row r="51" spans="1:13" x14ac:dyDescent="0.25">
      <c r="A51" s="3">
        <v>45689</v>
      </c>
      <c r="B51" s="1" vm="295">
        <f ca="1"/>
        <v>386.19</v>
      </c>
      <c r="C51" s="2">
        <f t="shared" ca="1" si="0"/>
        <v>-3.6096222066858252E-2</v>
      </c>
      <c r="D51" s="1" vm="296">
        <f ca="1"/>
        <v>165.02</v>
      </c>
      <c r="E51" s="2">
        <f t="shared" ca="1" si="1"/>
        <v>4.9690946551932402E-3</v>
      </c>
      <c r="F51" s="1" vm="297">
        <f ca="1"/>
        <v>138.01</v>
      </c>
      <c r="G51" s="2">
        <f t="shared" ca="1" si="2"/>
        <v>-3.8837765379320266E-2</v>
      </c>
      <c r="H51" s="1" vm="298">
        <f ca="1"/>
        <v>103.79</v>
      </c>
      <c r="I51" s="2">
        <f t="shared" ca="1" si="3"/>
        <v>-2.8037383177570208E-2</v>
      </c>
      <c r="J51" s="1" vm="299">
        <f ca="1"/>
        <v>71.62</v>
      </c>
      <c r="K51" s="2">
        <f t="shared" ca="1" si="4"/>
        <v>1.2007819044959511E-2</v>
      </c>
      <c r="L51" vm="300">
        <v>5954.5</v>
      </c>
      <c r="M51" s="2">
        <f t="shared" si="5"/>
        <v>-5.7544714081786852E-2</v>
      </c>
    </row>
    <row r="52" spans="1:13" x14ac:dyDescent="0.25">
      <c r="A52" s="3">
        <v>45717</v>
      </c>
      <c r="B52" s="1" vm="301">
        <f ca="1"/>
        <v>372.25</v>
      </c>
      <c r="C52" s="2">
        <f t="shared" ca="1" si="0"/>
        <v>4.4862323707186569E-3</v>
      </c>
      <c r="D52" s="1" vm="302">
        <f ca="1"/>
        <v>165.84</v>
      </c>
      <c r="E52" s="2">
        <f t="shared" ca="1" si="1"/>
        <v>-5.7465026531596686E-2</v>
      </c>
      <c r="F52" s="1" vm="303">
        <f ca="1"/>
        <v>132.65</v>
      </c>
      <c r="G52" s="2">
        <f t="shared" ca="1" si="2"/>
        <v>-1.4323407463249227E-2</v>
      </c>
      <c r="H52" s="1" vm="304">
        <f ca="1"/>
        <v>100.88</v>
      </c>
      <c r="I52" s="2">
        <f t="shared" ca="1" si="3"/>
        <v>1.9726407613005703E-2</v>
      </c>
      <c r="J52" s="1" vm="305">
        <f ca="1"/>
        <v>72.48</v>
      </c>
      <c r="K52" s="2">
        <f t="shared" ca="1" si="4"/>
        <v>4.1528697571743711E-2</v>
      </c>
      <c r="L52" vm="306">
        <v>5611.85</v>
      </c>
      <c r="M52" s="2">
        <f t="shared" si="5"/>
        <v>-7.6249365182604611E-3</v>
      </c>
    </row>
    <row r="53" spans="1:13" x14ac:dyDescent="0.25">
      <c r="A53" s="3">
        <v>45748</v>
      </c>
      <c r="B53" s="1" vm="307">
        <f ca="1"/>
        <v>373.92</v>
      </c>
      <c r="C53" s="2">
        <f t="shared" ca="1" si="0"/>
        <v>2.3320496362858378E-2</v>
      </c>
      <c r="D53" s="1" vm="308">
        <f ca="1"/>
        <v>156.31</v>
      </c>
      <c r="E53" s="2">
        <f t="shared" ca="1" si="1"/>
        <v>-7.0372976776916785E-3</v>
      </c>
      <c r="F53" s="1" vm="309">
        <f ca="1"/>
        <v>130.75</v>
      </c>
      <c r="G53" s="2">
        <f t="shared" ca="1" si="2"/>
        <v>2.1644359464627172E-2</v>
      </c>
      <c r="H53" s="1" vm="310">
        <f ca="1"/>
        <v>102.87</v>
      </c>
      <c r="I53" s="2">
        <f t="shared" ca="1" si="3"/>
        <v>2.3233206960241004E-2</v>
      </c>
      <c r="J53" s="1" vm="311">
        <f ca="1"/>
        <v>75.489999999999995</v>
      </c>
      <c r="K53" s="2">
        <f t="shared" ca="1" si="4"/>
        <v>3.6163730295403429E-2</v>
      </c>
      <c r="L53" vm="312">
        <v>5569.06</v>
      </c>
      <c r="M53" s="2">
        <f t="shared" si="5"/>
        <v>6.1523847830692979E-2</v>
      </c>
    </row>
    <row r="54" spans="1:13" x14ac:dyDescent="0.25">
      <c r="A54" s="3">
        <v>45778</v>
      </c>
      <c r="B54" s="1" vm="313">
        <f ca="1"/>
        <v>382.64</v>
      </c>
      <c r="C54" s="2">
        <f t="shared" ca="1" si="0"/>
        <v>3.394835877064617E-2</v>
      </c>
      <c r="D54" s="1" vm="314">
        <f ca="1"/>
        <v>155.21</v>
      </c>
      <c r="E54" s="2">
        <f t="shared" ca="1" si="1"/>
        <v>-1.5849494233619033E-2</v>
      </c>
      <c r="F54" s="1" vm="315">
        <f ca="1"/>
        <v>133.58000000000001</v>
      </c>
      <c r="G54" s="2">
        <f t="shared" ca="1" si="2"/>
        <v>1.8191346009881482E-2</v>
      </c>
      <c r="H54" s="1" vm="316">
        <f ca="1"/>
        <v>105.26</v>
      </c>
      <c r="I54" s="2">
        <f t="shared" ca="1" si="3"/>
        <v>2.0425612768383061E-2</v>
      </c>
      <c r="J54" s="1" vm="317">
        <f ca="1"/>
        <v>78.22</v>
      </c>
      <c r="K54" s="2">
        <f t="shared" ca="1" si="4"/>
        <v>-1.2784454103820231E-4</v>
      </c>
      <c r="L54" vm="318">
        <v>5911.69</v>
      </c>
      <c r="M54" s="2">
        <f t="shared" si="5"/>
        <v>4.960679602617879E-2</v>
      </c>
    </row>
    <row r="55" spans="1:13" x14ac:dyDescent="0.25">
      <c r="A55" s="3">
        <v>45809</v>
      </c>
      <c r="B55" s="1" vm="319">
        <f ca="1"/>
        <v>395.63</v>
      </c>
      <c r="C55" s="2">
        <f t="shared" ca="1" si="0"/>
        <v>-7.3300811364153118E-3</v>
      </c>
      <c r="D55" s="1" vm="320">
        <f ca="1"/>
        <v>152.75</v>
      </c>
      <c r="E55" s="2">
        <f t="shared" ca="1" si="1"/>
        <v>7.8494271685761063E-2</v>
      </c>
      <c r="F55" s="1" vm="321">
        <f ca="1"/>
        <v>136.01</v>
      </c>
      <c r="G55" s="2">
        <f t="shared" ca="1" si="2"/>
        <v>-7.2200573487243513E-2</v>
      </c>
      <c r="H55" s="1" vm="322">
        <f ca="1"/>
        <v>107.41</v>
      </c>
      <c r="I55" s="2">
        <f t="shared" ca="1" si="3"/>
        <v>-2.3182199050367669E-2</v>
      </c>
      <c r="J55" s="1" vm="323">
        <f ca="1"/>
        <v>78.209999999999994</v>
      </c>
      <c r="K55" s="2">
        <f t="shared" ca="1" si="4"/>
        <v>1.4064697609001531E-2</v>
      </c>
      <c r="L55" vm="324">
        <v>6204.95</v>
      </c>
      <c r="M55" s="2">
        <f t="shared" si="5"/>
        <v>2.1666572655702376E-2</v>
      </c>
    </row>
    <row r="56" spans="1:13" x14ac:dyDescent="0.25">
      <c r="A56" s="3">
        <v>45839</v>
      </c>
      <c r="B56" s="1" vm="325">
        <f ca="1"/>
        <v>392.73</v>
      </c>
      <c r="C56" s="2">
        <f t="shared" ca="1" si="0"/>
        <v>-3.361087770223814E-3</v>
      </c>
      <c r="D56" s="1" vm="32">
        <f ca="1"/>
        <v>164.74</v>
      </c>
      <c r="E56" s="2">
        <f t="shared" ca="1" si="1"/>
        <v>7.5452227752822454E-2</v>
      </c>
      <c r="F56" s="1" vm="326">
        <f ca="1"/>
        <v>126.19</v>
      </c>
      <c r="G56" s="2">
        <f t="shared" ca="1" si="2"/>
        <v>5.1271891592043817E-2</v>
      </c>
      <c r="H56" s="1" vm="327">
        <f ca="1"/>
        <v>104.92</v>
      </c>
      <c r="I56" s="2">
        <f t="shared" ca="1" si="3"/>
        <v>5.5280213495996211E-3</v>
      </c>
      <c r="J56" s="1" vm="328">
        <f ca="1"/>
        <v>79.31</v>
      </c>
      <c r="K56" s="2">
        <f t="shared" ca="1" si="4"/>
        <v>2.5595763459841159E-2</v>
      </c>
      <c r="L56" vm="329">
        <v>6339.39</v>
      </c>
      <c r="M56" s="2">
        <f t="shared" si="5"/>
        <v>1.9066503244002941E-2</v>
      </c>
    </row>
    <row r="57" spans="1:13" x14ac:dyDescent="0.25">
      <c r="A57" s="3">
        <v>45870</v>
      </c>
      <c r="B57" s="1" vm="330">
        <f ca="1"/>
        <v>391.41</v>
      </c>
      <c r="C57" s="2">
        <f t="shared" ca="1" si="0"/>
        <v>-5.5542781226846527E-2</v>
      </c>
      <c r="D57" s="1" vm="331">
        <f ca="1"/>
        <v>177.17</v>
      </c>
      <c r="E57" s="2">
        <f t="shared" ca="1" si="1"/>
        <v>4.6565445617203771E-2</v>
      </c>
      <c r="F57" s="1" vm="332">
        <f ca="1"/>
        <v>132.66</v>
      </c>
      <c r="G57" s="2">
        <f t="shared" ca="1" si="2"/>
        <v>9.6487260666364705E-3</v>
      </c>
      <c r="H57" s="1" vm="333">
        <f ca="1"/>
        <v>105.5</v>
      </c>
      <c r="I57" s="2">
        <f t="shared" ca="1" si="3"/>
        <v>-7.459715639810427E-2</v>
      </c>
      <c r="J57" s="1" vm="334">
        <f ca="1"/>
        <v>81.34</v>
      </c>
      <c r="K57" s="2">
        <f t="shared" ca="1" si="4"/>
        <v>-4.3889845094664426E-2</v>
      </c>
      <c r="L57" vm="335">
        <v>6460.26</v>
      </c>
      <c r="M57" s="2">
        <f t="shared" si="5"/>
        <v>3.5323655704259549E-2</v>
      </c>
    </row>
    <row r="58" spans="1:13" x14ac:dyDescent="0.25">
      <c r="A58" s="3">
        <v>45901</v>
      </c>
      <c r="B58" s="1" vm="336">
        <f ca="1"/>
        <v>369.67</v>
      </c>
      <c r="C58" s="2">
        <f t="shared" ca="1" si="0"/>
        <v>-3.6329699461682075E-2</v>
      </c>
      <c r="D58" s="1" vm="337">
        <f ca="1"/>
        <v>185.42</v>
      </c>
      <c r="E58" s="2">
        <f t="shared" ca="1" si="1"/>
        <v>1.8606407075827835E-2</v>
      </c>
      <c r="F58" s="1" vm="338">
        <f ca="1"/>
        <v>133.94</v>
      </c>
      <c r="G58" s="2">
        <f t="shared" ca="1" si="2"/>
        <v>-7.7049425115723436E-2</v>
      </c>
      <c r="H58" s="1" vm="339">
        <f ca="1"/>
        <v>97.63</v>
      </c>
      <c r="I58" s="2">
        <f t="shared" ca="1" si="3"/>
        <v>3.165010754890929E-2</v>
      </c>
      <c r="J58" s="1" vm="340">
        <f ca="1"/>
        <v>77.77</v>
      </c>
      <c r="K58" s="2">
        <f t="shared" ca="1" si="4"/>
        <v>6.0177446316060257E-2</v>
      </c>
      <c r="L58" vm="341">
        <v>6688.46</v>
      </c>
      <c r="M58" s="2">
        <f t="shared" si="5"/>
        <v>2.2686836730727133E-2</v>
      </c>
    </row>
    <row r="59" spans="1:13" x14ac:dyDescent="0.25">
      <c r="A59" s="3">
        <v>45931</v>
      </c>
      <c r="B59" s="1" vm="342">
        <f ca="1"/>
        <v>356.24</v>
      </c>
      <c r="C59" s="2">
        <f t="shared" ca="1" si="0"/>
        <v>4.1938019312822705E-2</v>
      </c>
      <c r="D59" s="1" vm="343">
        <f ca="1"/>
        <v>188.87</v>
      </c>
      <c r="E59" s="2">
        <f t="shared" ca="1" si="1"/>
        <v>9.5568380367448524E-2</v>
      </c>
      <c r="F59" s="1" vm="344">
        <f ca="1"/>
        <v>123.62</v>
      </c>
      <c r="G59" s="2">
        <f t="shared" ca="1" si="2"/>
        <v>4.2711535350266949E-2</v>
      </c>
      <c r="H59" s="1" vm="345">
        <f ca="1"/>
        <v>100.72</v>
      </c>
      <c r="I59" s="2">
        <f t="shared" ca="1" si="3"/>
        <v>8.5385226370136014E-3</v>
      </c>
      <c r="J59" s="1" vm="346">
        <f ca="1"/>
        <v>82.45</v>
      </c>
      <c r="K59" s="2">
        <f t="shared" ca="1" si="4"/>
        <v>5.118253486961799E-2</v>
      </c>
      <c r="L59" vm="347">
        <v>6840.2</v>
      </c>
      <c r="M59" s="2">
        <f t="shared" si="5"/>
        <v>1.299669600304032E-3</v>
      </c>
    </row>
    <row r="60" spans="1:13" x14ac:dyDescent="0.25">
      <c r="A60" s="3">
        <v>45962</v>
      </c>
      <c r="B60" s="1" vm="348">
        <f ca="1"/>
        <v>371.18</v>
      </c>
      <c r="C60" s="2">
        <f t="shared" ca="1" si="0"/>
        <v>-5.310092138585043E-2</v>
      </c>
      <c r="D60" s="1" vm="349">
        <f ca="1"/>
        <v>206.92</v>
      </c>
      <c r="E60" s="2">
        <f t="shared" ca="1" si="1"/>
        <v>1.4498356852898908E-4</v>
      </c>
      <c r="F60" s="1" vm="350">
        <f ca="1"/>
        <v>128.9</v>
      </c>
      <c r="G60" s="2">
        <f t="shared" ca="1" si="2"/>
        <v>-2.8006206361520514E-2</v>
      </c>
      <c r="H60" s="1" vm="351">
        <f ca="1"/>
        <v>101.58</v>
      </c>
      <c r="I60" s="2">
        <f t="shared" ca="1" si="3"/>
        <v>-6.1330970663516449E-2</v>
      </c>
      <c r="J60" s="1" vm="352">
        <f ca="1"/>
        <v>86.67</v>
      </c>
      <c r="K60" s="2">
        <f t="shared" ca="1" si="4"/>
        <v>-1.6383985231337328E-2</v>
      </c>
      <c r="L60" vm="353">
        <v>6849.09</v>
      </c>
      <c r="M60" s="2">
        <f t="shared" si="5"/>
        <v>-5.2415722380638741E-4</v>
      </c>
    </row>
    <row r="61" spans="1:13" x14ac:dyDescent="0.25">
      <c r="A61" s="3">
        <v>45992</v>
      </c>
      <c r="B61" s="1" vm="354">
        <f ca="1"/>
        <v>351.47</v>
      </c>
      <c r="C61" s="2">
        <f t="shared" ca="1" si="0"/>
        <v>5.1469542208438801E-2</v>
      </c>
      <c r="D61" s="1" vm="355">
        <f ca="1"/>
        <v>206.95</v>
      </c>
      <c r="E61" s="2">
        <f t="shared" ca="1" si="1"/>
        <v>9.8091326407344859E-2</v>
      </c>
      <c r="F61" s="1" vm="356">
        <f ca="1"/>
        <v>125.29</v>
      </c>
      <c r="G61" s="2">
        <f t="shared" ca="1" si="2"/>
        <v>-0.1276239125229468</v>
      </c>
      <c r="H61" s="1" vm="357">
        <f ca="1"/>
        <v>95.35</v>
      </c>
      <c r="I61" s="2">
        <f t="shared" ca="1" si="3"/>
        <v>-1.9087572102779116E-2</v>
      </c>
      <c r="J61" s="1" vm="358">
        <f ca="1"/>
        <v>85.25</v>
      </c>
      <c r="K61" s="2">
        <f t="shared" ca="1" si="4"/>
        <v>-4.5630498533724362E-2</v>
      </c>
      <c r="L61" vm="359">
        <v>6845.5</v>
      </c>
      <c r="M61" s="2">
        <f t="shared" si="5"/>
        <v>1.3662990285588927E-2</v>
      </c>
    </row>
    <row r="62" spans="1:13" x14ac:dyDescent="0.25">
      <c r="A62" s="3">
        <v>46023</v>
      </c>
      <c r="B62" s="1" vm="360">
        <f ca="1"/>
        <v>369.56</v>
      </c>
      <c r="C62" s="2">
        <f t="shared" ca="1" si="0"/>
        <v>4.8435977919688122E-2</v>
      </c>
      <c r="D62" s="1" vm="361">
        <f ca="1"/>
        <v>227.25</v>
      </c>
      <c r="E62" s="2">
        <f t="shared" ca="1" si="1"/>
        <v>9.320132013201321E-2</v>
      </c>
      <c r="F62" s="1" vm="362">
        <f ca="1"/>
        <v>109.3</v>
      </c>
      <c r="G62" s="2">
        <f t="shared" ca="1" si="2"/>
        <v>6.4501372369624832E-2</v>
      </c>
      <c r="H62" s="1" vm="363">
        <f ca="1"/>
        <v>93.53</v>
      </c>
      <c r="I62" s="2">
        <f t="shared" ca="1" si="3"/>
        <v>-0.17833850101571691</v>
      </c>
      <c r="J62" s="1" vm="364">
        <f ca="1"/>
        <v>81.36</v>
      </c>
      <c r="K62" s="2">
        <f t="shared" ca="1" si="4"/>
        <v>6.2807276302851545E-2</v>
      </c>
      <c r="L62" vm="365">
        <v>6939.03</v>
      </c>
      <c r="M62" s="2">
        <f t="shared" si="5"/>
        <v>-8.6683585457909551E-3</v>
      </c>
    </row>
    <row r="63" spans="1:13" x14ac:dyDescent="0.25">
      <c r="A63" s="3">
        <v>46054</v>
      </c>
      <c r="B63" s="1" vm="366">
        <f ca="1"/>
        <v>387.46</v>
      </c>
      <c r="C63" s="2">
        <f t="shared" ca="1" si="0"/>
        <v>-0.14161461828317767</v>
      </c>
      <c r="D63" s="1" vm="367">
        <f ca="1"/>
        <v>248.43</v>
      </c>
      <c r="E63" s="2">
        <f t="shared" ca="1" si="1"/>
        <v>-5.2368876544700793E-2</v>
      </c>
      <c r="F63" s="1" vm="368">
        <f ca="1"/>
        <v>116.35</v>
      </c>
      <c r="G63" s="2">
        <f t="shared" ca="1" si="2"/>
        <v>-9.8839707778255237E-2</v>
      </c>
      <c r="H63" s="1" vm="369">
        <f ca="1"/>
        <v>76.849999999999994</v>
      </c>
      <c r="I63" s="2">
        <f t="shared" ca="1" si="3"/>
        <v>-9.5120364346128694E-2</v>
      </c>
      <c r="J63" s="1" vm="370">
        <f ca="1"/>
        <v>86.47</v>
      </c>
      <c r="K63" s="2">
        <f t="shared" ca="1" si="4"/>
        <v>-5.1462935122007614E-2</v>
      </c>
      <c r="L63" vm="371">
        <v>6878.88</v>
      </c>
      <c r="M63" s="2">
        <f t="shared" si="5"/>
        <v>-5.4136719931151656E-2</v>
      </c>
    </row>
    <row r="64" spans="1:13" x14ac:dyDescent="0.25">
      <c r="A64" s="3">
        <v>46082</v>
      </c>
      <c r="B64" s="1" vm="372">
        <f ca="1"/>
        <v>332.59</v>
      </c>
      <c r="C64" s="2"/>
      <c r="D64" s="1" vm="373">
        <f ca="1"/>
        <v>235.42</v>
      </c>
      <c r="E64" s="2"/>
      <c r="F64" s="1" vm="374">
        <f ca="1"/>
        <v>104.85</v>
      </c>
      <c r="G64" s="2"/>
      <c r="H64" s="1" vm="375">
        <f ca="1"/>
        <v>69.540000000000006</v>
      </c>
      <c r="I64" s="2"/>
      <c r="J64" s="1" vm="376">
        <f ca="1"/>
        <v>82.02</v>
      </c>
      <c r="K64" s="2"/>
      <c r="L64" vm="377">
        <v>6506.48</v>
      </c>
      <c r="M64" s="2"/>
    </row>
    <row r="66" spans="1:12" x14ac:dyDescent="0.25">
      <c r="B66" t="s">
        <v>28</v>
      </c>
      <c r="L66" t="s">
        <v>31</v>
      </c>
    </row>
    <row r="67" spans="1:12" x14ac:dyDescent="0.25">
      <c r="A67" s="5" t="str">
        <f>B1</f>
        <v>SYK</v>
      </c>
      <c r="B67" s="4">
        <f ca="1">SLOPE(C2:C63,$M$2:$M$63)</f>
        <v>0.92256518040058122</v>
      </c>
    </row>
    <row r="68" spans="1:12" x14ac:dyDescent="0.25">
      <c r="A68" s="6" t="str">
        <f>D1</f>
        <v>JNJ</v>
      </c>
      <c r="B68" s="4">
        <f ca="1">SLOPE(E2:E63,$M$2:$M$63)</f>
        <v>0.34772130409485064</v>
      </c>
    </row>
    <row r="69" spans="1:12" x14ac:dyDescent="0.25">
      <c r="A69" s="6" t="str">
        <f>F1</f>
        <v>ABT</v>
      </c>
      <c r="B69" s="4">
        <f ca="1">SLOPE(G2:G63,$M$2:$M$63)</f>
        <v>0.75981577765931252</v>
      </c>
    </row>
    <row r="70" spans="1:12" x14ac:dyDescent="0.25">
      <c r="A70" s="6" t="str">
        <f>H1</f>
        <v>BSX</v>
      </c>
      <c r="B70" s="4">
        <f ca="1">SLOPE(I2:I63,$M$2:$M$63)</f>
        <v>0.73427617390879107</v>
      </c>
    </row>
    <row r="71" spans="1:12" x14ac:dyDescent="0.25">
      <c r="A71" s="6" t="str">
        <f>J1</f>
        <v>EW</v>
      </c>
      <c r="B71" s="4">
        <f ca="1">SLOPE(K2:K63,$M$2:$M$63)</f>
        <v>0.92220722387627629</v>
      </c>
    </row>
    <row r="72" spans="1:12" x14ac:dyDescent="0.25">
      <c r="A72" s="6" t="str">
        <f>L1</f>
        <v>S&amp;P 500</v>
      </c>
      <c r="B72" s="4">
        <f>SLOPE(M2:M63,$M$2:$M$63)</f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A2C21F-2178-42D5-B740-61349B9D6C3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WACC Dashboard</vt:lpstr>
      <vt:lpstr>Beta Hand Calculations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Harris Waseem</cp:lastModifiedBy>
  <dcterms:created xsi:type="dcterms:W3CDTF">2013-04-03T15:49:21Z</dcterms:created>
  <dcterms:modified xsi:type="dcterms:W3CDTF">2026-03-24T21:30:04Z</dcterms:modified>
</cp:coreProperties>
</file>